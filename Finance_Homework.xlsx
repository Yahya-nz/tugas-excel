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turns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CAPM Regression" sheetId="3" state="visible" r:id="rId3"/>
    <sheet xmlns:r="http://schemas.openxmlformats.org/officeDocument/2006/relationships" name="FF4 Re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 YYYY"/>
    <numFmt numFmtId="166" formatCode="0.0000%"/>
    <numFmt numFmtId="167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sz val="12"/>
    </font>
    <font>
      <i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165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  <xf numFmtId="0" fontId="3" fillId="0" borderId="1" pivotButton="0" quotePrefix="0" xfId="0"/>
    <xf numFmtId="167" fontId="0" fillId="0" borderId="1" pivotButton="0" quotePrefix="0" xfId="0"/>
    <xf numFmtId="1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0" customWidth="1" min="4" max="4"/>
    <col width="14" customWidth="1" min="5" max="5"/>
    <col width="15" customWidth="1" min="6" max="6"/>
    <col width="17" customWidth="1" min="7" max="7"/>
    <col width="22" customWidth="1" min="8" max="8"/>
    <col width="22" customWidth="1" min="9" max="9"/>
    <col width="14" customWidth="1" min="10" max="10"/>
    <col width="15" customWidth="1" min="11" max="11"/>
    <col width="17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Monthly Price Data, Returns &amp; Fama-French Factors</t>
        </is>
      </c>
    </row>
    <row r="2"/>
    <row r="3">
      <c r="A3" s="2" t="inlineStr">
        <is>
          <t>Date</t>
        </is>
      </c>
      <c r="B3" s="2" t="inlineStr">
        <is>
          <t>AAPL Price</t>
        </is>
      </c>
      <c r="C3" s="2" t="inlineStr">
        <is>
          <t>VFIAX NAV</t>
        </is>
      </c>
      <c r="D3" s="2" t="inlineStr">
        <is>
          <t>S&amp;P 500</t>
        </is>
      </c>
      <c r="E3" s="2" t="inlineStr">
        <is>
          <t>AAPL Return</t>
        </is>
      </c>
      <c r="F3" s="2" t="inlineStr">
        <is>
          <t>VFIAX Return</t>
        </is>
      </c>
      <c r="G3" s="2" t="inlineStr">
        <is>
          <t>S&amp;P 500 Return</t>
        </is>
      </c>
      <c r="H3" s="2" t="inlineStr">
        <is>
          <t>RF (FF, %/mo)</t>
        </is>
      </c>
      <c r="I3" s="2" t="inlineStr">
        <is>
          <t>RF (DGS1MO, %/yr)</t>
        </is>
      </c>
      <c r="J3" s="2" t="inlineStr">
        <is>
          <t>AAPL Excess</t>
        </is>
      </c>
      <c r="K3" s="2" t="inlineStr">
        <is>
          <t>VFIAX Excess</t>
        </is>
      </c>
      <c r="L3" s="2" t="inlineStr">
        <is>
          <t>S&amp;P 500 Excess</t>
        </is>
      </c>
      <c r="M3" s="2" t="inlineStr">
        <is>
          <t>Mkt-RF (FF)</t>
        </is>
      </c>
      <c r="N3" s="2" t="inlineStr">
        <is>
          <t>SMB (FF)</t>
        </is>
      </c>
      <c r="O3" s="2" t="inlineStr">
        <is>
          <t>HML (FF)</t>
        </is>
      </c>
      <c r="P3" s="2" t="inlineStr">
        <is>
          <t>Mom</t>
        </is>
      </c>
      <c r="Q3" s="2" t="inlineStr">
        <is>
          <t>AAPL CAPM Resid</t>
        </is>
      </c>
      <c r="R3" s="2" t="inlineStr">
        <is>
          <t>VFIAX CAPM Resid</t>
        </is>
      </c>
    </row>
    <row r="4">
      <c r="A4" s="3" t="n">
        <v>44228</v>
      </c>
      <c r="B4" s="4" t="n">
        <v>117.93</v>
      </c>
      <c r="C4" s="4" t="n">
        <v>328.39</v>
      </c>
      <c r="D4" s="4" t="n">
        <v>3811.15</v>
      </c>
      <c r="H4" s="5" t="n">
        <v>0</v>
      </c>
      <c r="M4" s="6" t="n">
        <v>0.0281</v>
      </c>
      <c r="N4" s="6" t="n">
        <v>0.0202</v>
      </c>
      <c r="O4" s="6" t="n">
        <v>0.07200000000000001</v>
      </c>
      <c r="P4" s="6" t="n">
        <v>-0.079</v>
      </c>
    </row>
    <row r="5">
      <c r="A5" s="3" t="n">
        <v>44256</v>
      </c>
      <c r="B5" s="4" t="n">
        <v>118.97</v>
      </c>
      <c r="C5" s="4" t="n">
        <v>341.57</v>
      </c>
      <c r="D5" s="4" t="n">
        <v>3972.89</v>
      </c>
      <c r="E5" s="6">
        <f>B5/B4-1</f>
        <v/>
      </c>
      <c r="F5" s="6">
        <f>C5/C4-1</f>
        <v/>
      </c>
      <c r="G5" s="6">
        <f>D5/D4-1</f>
        <v/>
      </c>
      <c r="H5" s="5" t="n">
        <v>0</v>
      </c>
      <c r="I5" s="5" t="n">
        <v>0.0001875</v>
      </c>
      <c r="J5" s="6">
        <f>E5-H5</f>
        <v/>
      </c>
      <c r="K5" s="6">
        <f>F5-H5</f>
        <v/>
      </c>
      <c r="L5" s="6">
        <f>G5-H5</f>
        <v/>
      </c>
      <c r="M5" s="6" t="n">
        <v>0.0316</v>
      </c>
      <c r="N5" s="6" t="n">
        <v>-0.0233</v>
      </c>
      <c r="O5" s="6" t="n">
        <v>0.0735</v>
      </c>
      <c r="P5" s="6" t="n">
        <v>-0.0612</v>
      </c>
      <c r="Q5" s="6" t="n">
        <v>-0.02896020649212365</v>
      </c>
      <c r="R5" s="6" t="n">
        <v>0.008075318148560759</v>
      </c>
    </row>
    <row r="6">
      <c r="A6" s="3" t="n">
        <v>44287</v>
      </c>
      <c r="B6" s="4" t="n">
        <v>128.04</v>
      </c>
      <c r="C6" s="4" t="n">
        <v>361.05</v>
      </c>
      <c r="D6" s="4" t="n">
        <v>4181.17</v>
      </c>
      <c r="E6" s="6">
        <f>B6/B5-1</f>
        <v/>
      </c>
      <c r="F6" s="6">
        <f>C6/C5-1</f>
        <v/>
      </c>
      <c r="G6" s="6">
        <f>D6/D5-1</f>
        <v/>
      </c>
      <c r="H6" s="5" t="n">
        <v>0</v>
      </c>
      <c r="I6" s="5" t="n">
        <v>0.0001636363636363637</v>
      </c>
      <c r="J6" s="6">
        <f>E6-H6</f>
        <v/>
      </c>
      <c r="K6" s="6">
        <f>F6-H6</f>
        <v/>
      </c>
      <c r="L6" s="6">
        <f>G6-H6</f>
        <v/>
      </c>
      <c r="M6" s="6" t="n">
        <v>0.0495</v>
      </c>
      <c r="N6" s="6" t="n">
        <v>-0.0319</v>
      </c>
      <c r="O6" s="6" t="n">
        <v>-0.0102</v>
      </c>
      <c r="P6" s="6" t="n">
        <v>0.0123</v>
      </c>
      <c r="Q6" s="6" t="n">
        <v>0.01934905946307464</v>
      </c>
      <c r="R6" s="6" t="n">
        <v>0.007310301032694942</v>
      </c>
    </row>
    <row r="7">
      <c r="A7" s="3" t="n">
        <v>44317</v>
      </c>
      <c r="B7" s="4" t="n">
        <v>121.37</v>
      </c>
      <c r="C7" s="4" t="n">
        <v>363.56</v>
      </c>
      <c r="D7" s="4" t="n">
        <v>4204.11</v>
      </c>
      <c r="E7" s="6">
        <f>B7/B6-1</f>
        <v/>
      </c>
      <c r="F7" s="6">
        <f>C7/C6-1</f>
        <v/>
      </c>
      <c r="G7" s="6">
        <f>D7/D6-1</f>
        <v/>
      </c>
      <c r="H7" s="5" t="n">
        <v>0</v>
      </c>
      <c r="I7" s="5" t="n">
        <v>7.499999999999999e-05</v>
      </c>
      <c r="J7" s="6">
        <f>E7-H7</f>
        <v/>
      </c>
      <c r="K7" s="6">
        <f>F7-H7</f>
        <v/>
      </c>
      <c r="L7" s="6">
        <f>G7-H7</f>
        <v/>
      </c>
      <c r="M7" s="6" t="n">
        <v>0.003</v>
      </c>
      <c r="N7" s="6" t="n">
        <v>-0.002</v>
      </c>
      <c r="O7" s="6" t="n">
        <v>0.0704</v>
      </c>
      <c r="P7" s="6" t="n">
        <v>0.005600000000000001</v>
      </c>
      <c r="Q7" s="6" t="n">
        <v>-0.0593393559821066</v>
      </c>
      <c r="R7" s="6" t="n">
        <v>0.003109524512750906</v>
      </c>
    </row>
    <row r="8">
      <c r="A8" s="3" t="n">
        <v>44348</v>
      </c>
      <c r="B8" s="4" t="n">
        <v>133.63</v>
      </c>
      <c r="C8" s="4" t="n">
        <v>370.78</v>
      </c>
      <c r="D8" s="4" t="n">
        <v>4297.5</v>
      </c>
      <c r="E8" s="6">
        <f>B8/B7-1</f>
        <v/>
      </c>
      <c r="F8" s="6">
        <f>C8/C7-1</f>
        <v/>
      </c>
      <c r="G8" s="6">
        <f>D8/D7-1</f>
        <v/>
      </c>
      <c r="H8" s="5" t="n">
        <v>0</v>
      </c>
      <c r="I8" s="5" t="n">
        <v>0.0002727272727272727</v>
      </c>
      <c r="J8" s="6">
        <f>E8-H8</f>
        <v/>
      </c>
      <c r="K8" s="6">
        <f>F8-H8</f>
        <v/>
      </c>
      <c r="L8" s="6">
        <f>G8-H8</f>
        <v/>
      </c>
      <c r="M8" s="6" t="n">
        <v>0.0274</v>
      </c>
      <c r="N8" s="6" t="n">
        <v>0.017</v>
      </c>
      <c r="O8" s="6" t="n">
        <v>-0.0786</v>
      </c>
      <c r="P8" s="6" t="n">
        <v>0.0207</v>
      </c>
      <c r="Q8" s="6" t="n">
        <v>0.06771826125081251</v>
      </c>
      <c r="R8" s="6" t="n">
        <v>-0.008056892876751785</v>
      </c>
    </row>
    <row r="9">
      <c r="A9" s="3" t="n">
        <v>44378</v>
      </c>
      <c r="B9" s="4" t="n">
        <v>142.31</v>
      </c>
      <c r="C9" s="4" t="n">
        <v>380.86</v>
      </c>
      <c r="D9" s="4" t="n">
        <v>4395.26</v>
      </c>
      <c r="E9" s="6">
        <f>B9/B8-1</f>
        <v/>
      </c>
      <c r="F9" s="6">
        <f>C9/C8-1</f>
        <v/>
      </c>
      <c r="G9" s="6">
        <f>D9/D8-1</f>
        <v/>
      </c>
      <c r="H9" s="5" t="n">
        <v>0</v>
      </c>
      <c r="I9" s="5" t="n">
        <v>0.0004952380952380955</v>
      </c>
      <c r="J9" s="6">
        <f>E9-H9</f>
        <v/>
      </c>
      <c r="K9" s="6">
        <f>F9-H9</f>
        <v/>
      </c>
      <c r="L9" s="6">
        <f>G9-H9</f>
        <v/>
      </c>
      <c r="M9" s="6" t="n">
        <v>0.0134</v>
      </c>
      <c r="N9" s="6" t="n">
        <v>-0.0393</v>
      </c>
      <c r="O9" s="6" t="n">
        <v>-0.0179</v>
      </c>
      <c r="P9" s="6" t="n">
        <v>-0.0218</v>
      </c>
      <c r="Q9" s="6" t="n">
        <v>0.04660640045901524</v>
      </c>
      <c r="R9" s="6" t="n">
        <v>0.01308261452428771</v>
      </c>
    </row>
    <row r="10">
      <c r="A10" s="3" t="n">
        <v>44409</v>
      </c>
      <c r="B10" s="4" t="n">
        <v>148.13</v>
      </c>
      <c r="C10" s="4" t="n">
        <v>392.42</v>
      </c>
      <c r="D10" s="4" t="n">
        <v>4522.68</v>
      </c>
      <c r="E10" s="6">
        <f>B10/B9-1</f>
        <v/>
      </c>
      <c r="F10" s="6">
        <f>C10/C9-1</f>
        <v/>
      </c>
      <c r="G10" s="6">
        <f>D10/D9-1</f>
        <v/>
      </c>
      <c r="H10" s="5" t="n">
        <v>0</v>
      </c>
      <c r="I10" s="5" t="n">
        <v>0.0004136363636363638</v>
      </c>
      <c r="J10" s="6">
        <f>E10-H10</f>
        <v/>
      </c>
      <c r="K10" s="6">
        <f>F10-H10</f>
        <v/>
      </c>
      <c r="L10" s="6">
        <f>G10-H10</f>
        <v/>
      </c>
      <c r="M10" s="6" t="n">
        <v>0.0294</v>
      </c>
      <c r="N10" s="6" t="n">
        <v>-0.0032</v>
      </c>
      <c r="O10" s="6" t="n">
        <v>-0.0023</v>
      </c>
      <c r="P10" s="6" t="n">
        <v>0.0263</v>
      </c>
      <c r="Q10" s="6" t="n">
        <v>0.005466308902687046</v>
      </c>
      <c r="R10" s="6" t="n">
        <v>0.0004630477922934716</v>
      </c>
    </row>
    <row r="11">
      <c r="A11" s="3" t="n">
        <v>44440</v>
      </c>
      <c r="B11" s="4" t="n">
        <v>138.26</v>
      </c>
      <c r="C11" s="4" t="n">
        <v>372.94</v>
      </c>
      <c r="D11" s="4" t="n">
        <v>4307.54</v>
      </c>
      <c r="E11" s="6">
        <f>B11/B10-1</f>
        <v/>
      </c>
      <c r="F11" s="6">
        <f>C11/C10-1</f>
        <v/>
      </c>
      <c r="G11" s="6">
        <f>D11/D10-1</f>
        <v/>
      </c>
      <c r="H11" s="5" t="n">
        <v>0</v>
      </c>
      <c r="I11" s="5" t="n">
        <v>0.0005380952380952383</v>
      </c>
      <c r="J11" s="6">
        <f>E11-H11</f>
        <v/>
      </c>
      <c r="K11" s="6">
        <f>F11-H11</f>
        <v/>
      </c>
      <c r="L11" s="6">
        <f>G11-H11</f>
        <v/>
      </c>
      <c r="M11" s="6" t="n">
        <v>-0.044</v>
      </c>
      <c r="N11" s="6" t="n">
        <v>0.0066</v>
      </c>
      <c r="O11" s="6" t="n">
        <v>0.0512</v>
      </c>
      <c r="P11" s="6" t="n">
        <v>0.0139</v>
      </c>
      <c r="Q11" s="6" t="n">
        <v>-0.02370074577106621</v>
      </c>
      <c r="R11" s="6" t="n">
        <v>-0.007111752511926091</v>
      </c>
    </row>
    <row r="12">
      <c r="A12" s="3" t="n">
        <v>44470</v>
      </c>
      <c r="B12" s="4" t="n">
        <v>146.37</v>
      </c>
      <c r="C12" s="4" t="n">
        <v>400.34</v>
      </c>
      <c r="D12" s="4" t="n">
        <v>4605.38</v>
      </c>
      <c r="E12" s="6">
        <f>B12/B11-1</f>
        <v/>
      </c>
      <c r="F12" s="6">
        <f>C12/C11-1</f>
        <v/>
      </c>
      <c r="G12" s="6">
        <f>D12/D11-1</f>
        <v/>
      </c>
      <c r="H12" s="5" t="n">
        <v>0</v>
      </c>
      <c r="I12" s="5" t="n">
        <v>0.0005600000000000003</v>
      </c>
      <c r="J12" s="6">
        <f>E12-H12</f>
        <v/>
      </c>
      <c r="K12" s="6">
        <f>F12-H12</f>
        <v/>
      </c>
      <c r="L12" s="6">
        <f>G12-H12</f>
        <v/>
      </c>
      <c r="M12" s="6" t="n">
        <v>0.0663</v>
      </c>
      <c r="N12" s="6" t="n">
        <v>-0.0226</v>
      </c>
      <c r="O12" s="6" t="n">
        <v>-0.0053</v>
      </c>
      <c r="P12" s="6" t="n">
        <v>0.0332</v>
      </c>
      <c r="Q12" s="6" t="n">
        <v>-0.0161663600762522</v>
      </c>
      <c r="R12" s="6" t="n">
        <v>0.007174500103029308</v>
      </c>
    </row>
    <row r="13">
      <c r="A13" s="3" t="n">
        <v>44501</v>
      </c>
      <c r="B13" s="4" t="n">
        <v>161.52</v>
      </c>
      <c r="C13" s="4" t="n">
        <v>397.54</v>
      </c>
      <c r="D13" s="4" t="n">
        <v>4567</v>
      </c>
      <c r="E13" s="6">
        <f>B13/B12-1</f>
        <v/>
      </c>
      <c r="F13" s="6">
        <f>C13/C12-1</f>
        <v/>
      </c>
      <c r="G13" s="6">
        <f>D13/D12-1</f>
        <v/>
      </c>
      <c r="H13" s="5" t="n">
        <v>0</v>
      </c>
      <c r="I13" s="5" t="n">
        <v>0.0007050000000000002</v>
      </c>
      <c r="J13" s="6">
        <f>E13-H13</f>
        <v/>
      </c>
      <c r="K13" s="6">
        <f>F13-H13</f>
        <v/>
      </c>
      <c r="L13" s="6">
        <f>G13-H13</f>
        <v/>
      </c>
      <c r="M13" s="6" t="n">
        <v>-0.0158</v>
      </c>
      <c r="N13" s="6" t="n">
        <v>-0.0131</v>
      </c>
      <c r="O13" s="6" t="n">
        <v>-0.0037</v>
      </c>
      <c r="P13" s="6" t="n">
        <v>0.009599999999999999</v>
      </c>
      <c r="Q13" s="6" t="n">
        <v>0.116329027110048</v>
      </c>
      <c r="R13" s="6" t="n">
        <v>0.007712067659851159</v>
      </c>
    </row>
    <row r="14">
      <c r="A14" s="3" t="n">
        <v>44531</v>
      </c>
      <c r="B14" s="4" t="n">
        <v>173.76</v>
      </c>
      <c r="C14" s="4" t="n">
        <v>413.84</v>
      </c>
      <c r="D14" s="4" t="n">
        <v>4766.18</v>
      </c>
      <c r="E14" s="6">
        <f>B14/B13-1</f>
        <v/>
      </c>
      <c r="F14" s="6">
        <f>C14/C13-1</f>
        <v/>
      </c>
      <c r="G14" s="6">
        <f>D14/D13-1</f>
        <v/>
      </c>
      <c r="H14" s="5" t="n">
        <v>0.0001</v>
      </c>
      <c r="I14" s="5" t="n">
        <v>0.000381818181818182</v>
      </c>
      <c r="J14" s="6">
        <f>E14-H14</f>
        <v/>
      </c>
      <c r="K14" s="6">
        <f>F14-H14</f>
        <v/>
      </c>
      <c r="L14" s="6">
        <f>G14-H14</f>
        <v/>
      </c>
      <c r="M14" s="6" t="n">
        <v>0.0323</v>
      </c>
      <c r="N14" s="6" t="n">
        <v>-0.0163</v>
      </c>
      <c r="O14" s="6" t="n">
        <v>0.0325</v>
      </c>
      <c r="P14" s="6" t="n">
        <v>-0.0239</v>
      </c>
      <c r="Q14" s="6" t="n">
        <v>0.03715378709554483</v>
      </c>
      <c r="R14" s="6" t="n">
        <v>0.008151639087974123</v>
      </c>
    </row>
    <row r="15">
      <c r="A15" s="3" t="n">
        <v>44562</v>
      </c>
      <c r="B15" s="4" t="n">
        <v>171.03</v>
      </c>
      <c r="C15" s="4" t="n">
        <v>393.82</v>
      </c>
      <c r="D15" s="4" t="n">
        <v>4515.55</v>
      </c>
      <c r="E15" s="6">
        <f>B15/B14-1</f>
        <v/>
      </c>
      <c r="F15" s="6">
        <f>C15/C14-1</f>
        <v/>
      </c>
      <c r="G15" s="6">
        <f>D15/D14-1</f>
        <v/>
      </c>
      <c r="H15" s="5" t="n">
        <v>0</v>
      </c>
      <c r="I15" s="5" t="n">
        <v>0.0004750000000000001</v>
      </c>
      <c r="J15" s="6">
        <f>E15-H15</f>
        <v/>
      </c>
      <c r="K15" s="6">
        <f>F15-H15</f>
        <v/>
      </c>
      <c r="L15" s="6">
        <f>G15-H15</f>
        <v/>
      </c>
      <c r="M15" s="6" t="n">
        <v>-0.0616</v>
      </c>
      <c r="N15" s="6" t="n">
        <v>-0.0593</v>
      </c>
      <c r="O15" s="6" t="n">
        <v>0.1286</v>
      </c>
      <c r="P15" s="6" t="n">
        <v>-0.0242</v>
      </c>
      <c r="Q15" s="6" t="n">
        <v>0.04600796727245694</v>
      </c>
      <c r="R15" s="6" t="n">
        <v>0.01151734885452275</v>
      </c>
    </row>
    <row r="16">
      <c r="A16" s="3" t="n">
        <v>44593</v>
      </c>
      <c r="B16" s="4" t="n">
        <v>161.58</v>
      </c>
      <c r="C16" s="4" t="n">
        <v>382.02</v>
      </c>
      <c r="D16" s="4" t="n">
        <v>4373.94</v>
      </c>
      <c r="E16" s="6">
        <f>B16/B15-1</f>
        <v/>
      </c>
      <c r="F16" s="6">
        <f>C16/C15-1</f>
        <v/>
      </c>
      <c r="G16" s="6">
        <f>D16/D15-1</f>
        <v/>
      </c>
      <c r="H16" s="5" t="n">
        <v>0</v>
      </c>
      <c r="I16" s="5" t="n">
        <v>0.0003684210526315791</v>
      </c>
      <c r="J16" s="6">
        <f>E16-H16</f>
        <v/>
      </c>
      <c r="K16" s="6">
        <f>F16-H16</f>
        <v/>
      </c>
      <c r="L16" s="6">
        <f>G16-H16</f>
        <v/>
      </c>
      <c r="M16" s="6" t="n">
        <v>-0.0228</v>
      </c>
      <c r="N16" s="6" t="n">
        <v>0.0216</v>
      </c>
      <c r="O16" s="6" t="n">
        <v>0.0306</v>
      </c>
      <c r="P16" s="6" t="n">
        <v>0.0166</v>
      </c>
      <c r="Q16" s="6" t="n">
        <v>-0.0349562061825185</v>
      </c>
      <c r="R16" s="6" t="n">
        <v>-0.008350431778571449</v>
      </c>
    </row>
    <row r="17">
      <c r="A17" s="3" t="n">
        <v>44621</v>
      </c>
      <c r="B17" s="4" t="n">
        <v>171.08</v>
      </c>
      <c r="C17" s="4" t="n">
        <v>394.87</v>
      </c>
      <c r="D17" s="4" t="n">
        <v>4530.41</v>
      </c>
      <c r="E17" s="6">
        <f>B17/B16-1</f>
        <v/>
      </c>
      <c r="F17" s="6">
        <f>C17/C16-1</f>
        <v/>
      </c>
      <c r="G17" s="6">
        <f>D17/D16-1</f>
        <v/>
      </c>
      <c r="H17" s="5" t="n">
        <v>0</v>
      </c>
      <c r="I17" s="5" t="n">
        <v>0.001795652173913044</v>
      </c>
      <c r="J17" s="6">
        <f>E17-H17</f>
        <v/>
      </c>
      <c r="K17" s="6">
        <f>F17-H17</f>
        <v/>
      </c>
      <c r="L17" s="6">
        <f>G17-H17</f>
        <v/>
      </c>
      <c r="M17" s="6" t="n">
        <v>0.0308</v>
      </c>
      <c r="N17" s="6" t="n">
        <v>-0.0155</v>
      </c>
      <c r="O17" s="6" t="n">
        <v>-0.019</v>
      </c>
      <c r="P17" s="6" t="n">
        <v>0.0294</v>
      </c>
      <c r="Q17" s="6" t="n">
        <v>0.02186947052768291</v>
      </c>
      <c r="R17" s="6" t="n">
        <v>0.002366395155027873</v>
      </c>
    </row>
    <row r="18">
      <c r="A18" s="3" t="n">
        <v>44652</v>
      </c>
      <c r="B18" s="4" t="n">
        <v>154.46</v>
      </c>
      <c r="C18" s="4" t="n">
        <v>361.61</v>
      </c>
      <c r="D18" s="4" t="n">
        <v>4131.93</v>
      </c>
      <c r="E18" s="6">
        <f>B18/B17-1</f>
        <v/>
      </c>
      <c r="F18" s="6">
        <f>C18/C17-1</f>
        <v/>
      </c>
      <c r="G18" s="6">
        <f>D18/D17-1</f>
        <v/>
      </c>
      <c r="H18" s="5" t="n">
        <v>0</v>
      </c>
      <c r="I18" s="5" t="n">
        <v>0.003070000000000001</v>
      </c>
      <c r="J18" s="6">
        <f>E18-H18</f>
        <v/>
      </c>
      <c r="K18" s="6">
        <f>F18-H18</f>
        <v/>
      </c>
      <c r="L18" s="6">
        <f>G18-H18</f>
        <v/>
      </c>
      <c r="M18" s="6" t="n">
        <v>-0.0941</v>
      </c>
      <c r="N18" s="6" t="n">
        <v>-0.0135</v>
      </c>
      <c r="O18" s="6" t="n">
        <v>0.06179999999999999</v>
      </c>
      <c r="P18" s="6" t="n">
        <v>0.05</v>
      </c>
      <c r="Q18" s="6" t="n">
        <v>-0.0007319477765609372</v>
      </c>
      <c r="R18" s="6" t="n">
        <v>0.007728581871668957</v>
      </c>
    </row>
    <row r="19">
      <c r="A19" s="3" t="n">
        <v>44682</v>
      </c>
      <c r="B19" s="4" t="n">
        <v>145.83</v>
      </c>
      <c r="C19" s="4" t="n">
        <v>362.25</v>
      </c>
      <c r="D19" s="4" t="n">
        <v>4132.15</v>
      </c>
      <c r="E19" s="6">
        <f>B19/B18-1</f>
        <v/>
      </c>
      <c r="F19" s="6">
        <f>C19/C18-1</f>
        <v/>
      </c>
      <c r="G19" s="6">
        <f>D19/D18-1</f>
        <v/>
      </c>
      <c r="H19" s="5" t="n">
        <v>0.0003</v>
      </c>
      <c r="I19" s="5" t="n">
        <v>0.00580952380952381</v>
      </c>
      <c r="J19" s="6">
        <f>E19-H19</f>
        <v/>
      </c>
      <c r="K19" s="6">
        <f>F19-H19</f>
        <v/>
      </c>
      <c r="L19" s="6">
        <f>G19-H19</f>
        <v/>
      </c>
      <c r="M19" s="6" t="n">
        <v>-0.0034</v>
      </c>
      <c r="N19" s="6" t="n">
        <v>-0.0184</v>
      </c>
      <c r="O19" s="6" t="n">
        <v>0.08439999999999999</v>
      </c>
      <c r="P19" s="6" t="n">
        <v>0.0254</v>
      </c>
      <c r="Q19" s="6" t="n">
        <v>-0.05658582987561828</v>
      </c>
      <c r="R19" s="6" t="n">
        <v>0.003941839286208193</v>
      </c>
    </row>
    <row r="20">
      <c r="A20" s="3" t="n">
        <v>44713</v>
      </c>
      <c r="B20" s="4" t="n">
        <v>134.15</v>
      </c>
      <c r="C20" s="4" t="n">
        <v>330.99</v>
      </c>
      <c r="D20" s="4" t="n">
        <v>3785.38</v>
      </c>
      <c r="E20" s="6">
        <f>B20/B19-1</f>
        <v/>
      </c>
      <c r="F20" s="6">
        <f>C20/C19-1</f>
        <v/>
      </c>
      <c r="G20" s="6">
        <f>D20/D19-1</f>
        <v/>
      </c>
      <c r="H20" s="5" t="n">
        <v>0.0005999999999999999</v>
      </c>
      <c r="I20" s="5" t="n">
        <v>0.01057142857142857</v>
      </c>
      <c r="J20" s="6">
        <f>E20-H20</f>
        <v/>
      </c>
      <c r="K20" s="6">
        <f>F20-H20</f>
        <v/>
      </c>
      <c r="L20" s="6">
        <f>G20-H20</f>
        <v/>
      </c>
      <c r="M20" s="6" t="n">
        <v>-0.08400000000000001</v>
      </c>
      <c r="N20" s="6" t="n">
        <v>0.0207</v>
      </c>
      <c r="O20" s="6" t="n">
        <v>-0.06</v>
      </c>
      <c r="P20" s="6" t="n">
        <v>0.0109</v>
      </c>
      <c r="Q20" s="6" t="n">
        <v>0.004939786197488569</v>
      </c>
      <c r="R20" s="6" t="n">
        <v>-0.004900070223386205</v>
      </c>
    </row>
    <row r="21">
      <c r="A21" s="3" t="n">
        <v>44743</v>
      </c>
      <c r="B21" s="4" t="n">
        <v>159.46</v>
      </c>
      <c r="C21" s="4" t="n">
        <v>362.94</v>
      </c>
      <c r="D21" s="4" t="n">
        <v>4130.29</v>
      </c>
      <c r="E21" s="6">
        <f>B21/B20-1</f>
        <v/>
      </c>
      <c r="F21" s="6">
        <f>C21/C20-1</f>
        <v/>
      </c>
      <c r="G21" s="6">
        <f>D21/D20-1</f>
        <v/>
      </c>
      <c r="H21" s="5" t="n">
        <v>0.0008</v>
      </c>
      <c r="I21" s="5" t="n">
        <v>0.01851</v>
      </c>
      <c r="J21" s="6">
        <f>E21-H21</f>
        <v/>
      </c>
      <c r="K21" s="6">
        <f>F21-H21</f>
        <v/>
      </c>
      <c r="L21" s="6">
        <f>G21-H21</f>
        <v/>
      </c>
      <c r="M21" s="6" t="n">
        <v>0.09570000000000001</v>
      </c>
      <c r="N21" s="6" t="n">
        <v>0.0284</v>
      </c>
      <c r="O21" s="6" t="n">
        <v>-0.0415</v>
      </c>
      <c r="P21" s="6" t="n">
        <v>-0.0436</v>
      </c>
      <c r="Q21" s="6" t="n">
        <v>0.08165863842367754</v>
      </c>
      <c r="R21" s="6" t="n">
        <v>0.0004260673371504625</v>
      </c>
    </row>
    <row r="22">
      <c r="A22" s="3" t="n">
        <v>44774</v>
      </c>
      <c r="B22" s="4" t="n">
        <v>154.27</v>
      </c>
      <c r="C22" s="4" t="n">
        <v>348.13</v>
      </c>
      <c r="D22" s="4" t="n">
        <v>3955</v>
      </c>
      <c r="E22" s="6">
        <f>B22/B21-1</f>
        <v/>
      </c>
      <c r="F22" s="6">
        <f>C22/C21-1</f>
        <v/>
      </c>
      <c r="G22" s="6">
        <f>D22/D21-1</f>
        <v/>
      </c>
      <c r="H22" s="5" t="n">
        <v>0.0019</v>
      </c>
      <c r="I22" s="5" t="n">
        <v>0.02276086956521739</v>
      </c>
      <c r="J22" s="6">
        <f>E22-H22</f>
        <v/>
      </c>
      <c r="K22" s="6">
        <f>F22-H22</f>
        <v/>
      </c>
      <c r="L22" s="6">
        <f>G22-H22</f>
        <v/>
      </c>
      <c r="M22" s="6" t="n">
        <v>-0.0377</v>
      </c>
      <c r="N22" s="6" t="n">
        <v>0.0141</v>
      </c>
      <c r="O22" s="6" t="n">
        <v>0.0018</v>
      </c>
      <c r="P22" s="6" t="n">
        <v>0.0185</v>
      </c>
      <c r="Q22" s="6" t="n">
        <v>0.001756826372491568</v>
      </c>
      <c r="R22" s="6" t="n">
        <v>-0.006392439682232971</v>
      </c>
    </row>
    <row r="23">
      <c r="A23" s="3" t="n">
        <v>44805</v>
      </c>
      <c r="B23" s="4" t="n">
        <v>135.79</v>
      </c>
      <c r="C23" s="4" t="n">
        <v>314.68</v>
      </c>
      <c r="D23" s="4" t="n">
        <v>3585.62</v>
      </c>
      <c r="E23" s="6">
        <f>B23/B22-1</f>
        <v/>
      </c>
      <c r="F23" s="6">
        <f>C23/C22-1</f>
        <v/>
      </c>
      <c r="G23" s="6">
        <f>D23/D22-1</f>
        <v/>
      </c>
      <c r="H23" s="5" t="n">
        <v>0.0019</v>
      </c>
      <c r="I23" s="5" t="n">
        <v>0.02612857142857142</v>
      </c>
      <c r="J23" s="6">
        <f>E23-H23</f>
        <v/>
      </c>
      <c r="K23" s="6">
        <f>F23-H23</f>
        <v/>
      </c>
      <c r="L23" s="6">
        <f>G23-H23</f>
        <v/>
      </c>
      <c r="M23" s="6" t="n">
        <v>-0.0934</v>
      </c>
      <c r="N23" s="6" t="n">
        <v>-0.0076</v>
      </c>
      <c r="O23" s="6" t="n">
        <v>0.0003</v>
      </c>
      <c r="P23" s="6" t="n">
        <v>0.0367</v>
      </c>
      <c r="Q23" s="6" t="n">
        <v>-0.02602169782501856</v>
      </c>
      <c r="R23" s="6" t="n">
        <v>-0.006716598316649419</v>
      </c>
    </row>
    <row r="24">
      <c r="A24" s="3" t="n">
        <v>44835</v>
      </c>
      <c r="B24" s="4" t="n">
        <v>150.67</v>
      </c>
      <c r="C24" s="4" t="n">
        <v>341.63</v>
      </c>
      <c r="D24" s="4" t="n">
        <v>3871.98</v>
      </c>
      <c r="E24" s="6">
        <f>B24/B23-1</f>
        <v/>
      </c>
      <c r="F24" s="6">
        <f>C24/C23-1</f>
        <v/>
      </c>
      <c r="G24" s="6">
        <f>D24/D23-1</f>
        <v/>
      </c>
      <c r="H24" s="5" t="n">
        <v>0.0023</v>
      </c>
      <c r="I24" s="5" t="n">
        <v>0.03322</v>
      </c>
      <c r="J24" s="6">
        <f>E24-H24</f>
        <v/>
      </c>
      <c r="K24" s="6">
        <f>F24-H24</f>
        <v/>
      </c>
      <c r="L24" s="6">
        <f>G24-H24</f>
        <v/>
      </c>
      <c r="M24" s="6" t="n">
        <v>0.0785</v>
      </c>
      <c r="N24" s="6" t="n">
        <v>0.0001</v>
      </c>
      <c r="O24" s="6" t="n">
        <v>0.07969999999999999</v>
      </c>
      <c r="P24" s="6" t="n">
        <v>0.039</v>
      </c>
      <c r="Q24" s="6" t="n">
        <v>0.01943255457899207</v>
      </c>
      <c r="R24" s="6" t="n">
        <v>0.005009973257944028</v>
      </c>
    </row>
    <row r="25">
      <c r="A25" s="3" t="n">
        <v>44866</v>
      </c>
      <c r="B25" s="4" t="n">
        <v>145.45</v>
      </c>
      <c r="C25" s="4" t="n">
        <v>360.7</v>
      </c>
      <c r="D25" s="4" t="n">
        <v>4080.11</v>
      </c>
      <c r="E25" s="6">
        <f>B25/B24-1</f>
        <v/>
      </c>
      <c r="F25" s="6">
        <f>C25/C24-1</f>
        <v/>
      </c>
      <c r="G25" s="6">
        <f>D25/D24-1</f>
        <v/>
      </c>
      <c r="H25" s="5" t="n">
        <v>0.0029</v>
      </c>
      <c r="I25" s="5" t="n">
        <v>0.03867</v>
      </c>
      <c r="J25" s="6">
        <f>E25-H25</f>
        <v/>
      </c>
      <c r="K25" s="6">
        <f>F25-H25</f>
        <v/>
      </c>
      <c r="L25" s="6">
        <f>G25-H25</f>
        <v/>
      </c>
      <c r="M25" s="6" t="n">
        <v>0.04650000000000001</v>
      </c>
      <c r="N25" s="6" t="n">
        <v>-0.0357</v>
      </c>
      <c r="O25" s="6" t="n">
        <v>0.0148</v>
      </c>
      <c r="P25" s="6" t="n">
        <v>-0.017</v>
      </c>
      <c r="Q25" s="6" t="n">
        <v>-0.09123116405911633</v>
      </c>
      <c r="R25" s="6" t="n">
        <v>0.006160030032779588</v>
      </c>
    </row>
    <row r="26">
      <c r="A26" s="3" t="n">
        <v>44896</v>
      </c>
      <c r="B26" s="4" t="n">
        <v>127.88</v>
      </c>
      <c r="C26" s="4" t="n">
        <v>338.29</v>
      </c>
      <c r="D26" s="4" t="n">
        <v>3839.5</v>
      </c>
      <c r="E26" s="6">
        <f>B26/B25-1</f>
        <v/>
      </c>
      <c r="F26" s="6">
        <f>C26/C25-1</f>
        <v/>
      </c>
      <c r="G26" s="6">
        <f>D26/D25-1</f>
        <v/>
      </c>
      <c r="H26" s="5" t="n">
        <v>0.0033</v>
      </c>
      <c r="I26" s="5" t="n">
        <v>0.03899047619047619</v>
      </c>
      <c r="J26" s="6">
        <f>E26-H26</f>
        <v/>
      </c>
      <c r="K26" s="6">
        <f>F26-H26</f>
        <v/>
      </c>
      <c r="L26" s="6">
        <f>G26-H26</f>
        <v/>
      </c>
      <c r="M26" s="6" t="n">
        <v>-0.0638</v>
      </c>
      <c r="N26" s="6" t="n">
        <v>-0.0076</v>
      </c>
      <c r="O26" s="6" t="n">
        <v>0.0134</v>
      </c>
      <c r="P26" s="6" t="n">
        <v>0.0491</v>
      </c>
      <c r="Q26" s="6" t="n">
        <v>-0.0600295595890652</v>
      </c>
      <c r="R26" s="6" t="n">
        <v>-0.003365086060545273</v>
      </c>
    </row>
    <row r="27">
      <c r="A27" s="3" t="n">
        <v>44927</v>
      </c>
      <c r="B27" s="4" t="n">
        <v>142.01</v>
      </c>
      <c r="C27" s="4" t="n">
        <v>361.24</v>
      </c>
      <c r="D27" s="4" t="n">
        <v>4076.6</v>
      </c>
      <c r="E27" s="6">
        <f>B27/B26-1</f>
        <v/>
      </c>
      <c r="F27" s="6">
        <f>C27/C26-1</f>
        <v/>
      </c>
      <c r="G27" s="6">
        <f>D27/D26-1</f>
        <v/>
      </c>
      <c r="H27" s="5" t="n">
        <v>0.0035</v>
      </c>
      <c r="I27" s="5" t="n">
        <v>0.045185</v>
      </c>
      <c r="J27" s="6">
        <f>E27-H27</f>
        <v/>
      </c>
      <c r="K27" s="6">
        <f>F27-H27</f>
        <v/>
      </c>
      <c r="L27" s="6">
        <f>G27-H27</f>
        <v/>
      </c>
      <c r="M27" s="6" t="n">
        <v>0.06610000000000001</v>
      </c>
      <c r="N27" s="6" t="n">
        <v>0.0501</v>
      </c>
      <c r="O27" s="6" t="n">
        <v>-0.0394</v>
      </c>
      <c r="P27" s="6" t="n">
        <v>-0.1617</v>
      </c>
      <c r="Q27" s="6" t="n">
        <v>0.03238376727353851</v>
      </c>
      <c r="R27" s="6" t="n">
        <v>-0.00175723693871517</v>
      </c>
    </row>
    <row r="28">
      <c r="A28" s="3" t="n">
        <v>44958</v>
      </c>
      <c r="B28" s="4" t="n">
        <v>145.08</v>
      </c>
      <c r="C28" s="4" t="n">
        <v>352.4</v>
      </c>
      <c r="D28" s="4" t="n">
        <v>3970.15</v>
      </c>
      <c r="E28" s="6">
        <f>B28/B27-1</f>
        <v/>
      </c>
      <c r="F28" s="6">
        <f>C28/C27-1</f>
        <v/>
      </c>
      <c r="G28" s="6">
        <f>D28/D27-1</f>
        <v/>
      </c>
      <c r="H28" s="5" t="n">
        <v>0.0034</v>
      </c>
      <c r="I28" s="5" t="n">
        <v>0.04639473684210527</v>
      </c>
      <c r="J28" s="6">
        <f>E28-H28</f>
        <v/>
      </c>
      <c r="K28" s="6">
        <f>F28-H28</f>
        <v/>
      </c>
      <c r="L28" s="6">
        <f>G28-H28</f>
        <v/>
      </c>
      <c r="M28" s="6" t="n">
        <v>-0.0257</v>
      </c>
      <c r="N28" s="6" t="n">
        <v>0.0105</v>
      </c>
      <c r="O28" s="6" t="n">
        <v>-0.008</v>
      </c>
      <c r="P28" s="6" t="n">
        <v>0.005500000000000001</v>
      </c>
      <c r="Q28" s="6" t="n">
        <v>0.0416114308752388</v>
      </c>
      <c r="R28" s="6" t="n">
        <v>-0.003397558632274599</v>
      </c>
    </row>
    <row r="29">
      <c r="A29" s="3" t="n">
        <v>44986</v>
      </c>
      <c r="B29" s="4" t="n">
        <v>162.55</v>
      </c>
      <c r="C29" s="4" t="n">
        <v>363.85</v>
      </c>
      <c r="D29" s="4" t="n">
        <v>4109.31</v>
      </c>
      <c r="E29" s="6">
        <f>B29/B28-1</f>
        <v/>
      </c>
      <c r="F29" s="6">
        <f>C29/C28-1</f>
        <v/>
      </c>
      <c r="G29" s="6">
        <f>D29/D28-1</f>
        <v/>
      </c>
      <c r="H29" s="5" t="n">
        <v>0.0036</v>
      </c>
      <c r="I29" s="5" t="n">
        <v>0.04494347826086956</v>
      </c>
      <c r="J29" s="6">
        <f>E29-H29</f>
        <v/>
      </c>
      <c r="K29" s="6">
        <f>F29-H29</f>
        <v/>
      </c>
      <c r="L29" s="6">
        <f>G29-H29</f>
        <v/>
      </c>
      <c r="M29" s="6" t="n">
        <v>0.0248</v>
      </c>
      <c r="N29" s="6" t="n">
        <v>-0.0548</v>
      </c>
      <c r="O29" s="6" t="n">
        <v>-0.09050000000000001</v>
      </c>
      <c r="P29" s="6" t="n">
        <v>-0.0235</v>
      </c>
      <c r="Q29" s="6" t="n">
        <v>0.08629685665677259</v>
      </c>
      <c r="R29" s="6" t="n">
        <v>0.003540647802456717</v>
      </c>
    </row>
    <row r="30">
      <c r="A30" s="3" t="n">
        <v>45017</v>
      </c>
      <c r="B30" s="4" t="n">
        <v>167.26</v>
      </c>
      <c r="C30" s="4" t="n">
        <v>371.02</v>
      </c>
      <c r="D30" s="4" t="n">
        <v>4169.48</v>
      </c>
      <c r="E30" s="6">
        <f>B30/B29-1</f>
        <v/>
      </c>
      <c r="F30" s="6">
        <f>C30/C29-1</f>
        <v/>
      </c>
      <c r="G30" s="6">
        <f>D30/D29-1</f>
        <v/>
      </c>
      <c r="H30" s="5" t="n">
        <v>0.0035</v>
      </c>
      <c r="I30" s="5" t="n">
        <v>0.04171</v>
      </c>
      <c r="J30" s="6">
        <f>E30-H30</f>
        <v/>
      </c>
      <c r="K30" s="6">
        <f>F30-H30</f>
        <v/>
      </c>
      <c r="L30" s="6">
        <f>G30-H30</f>
        <v/>
      </c>
      <c r="M30" s="6" t="n">
        <v>0.0062</v>
      </c>
      <c r="N30" s="6" t="n">
        <v>-0.0337</v>
      </c>
      <c r="O30" s="6" t="n">
        <v>-0.0012</v>
      </c>
      <c r="P30" s="6" t="n">
        <v>0.0176</v>
      </c>
      <c r="Q30" s="6" t="n">
        <v>0.01481318939114958</v>
      </c>
      <c r="R30" s="6" t="n">
        <v>0.009206302605114791</v>
      </c>
    </row>
    <row r="31">
      <c r="A31" s="3" t="n">
        <v>45047</v>
      </c>
      <c r="B31" s="4" t="n">
        <v>174.72</v>
      </c>
      <c r="C31" s="4" t="n">
        <v>372.62</v>
      </c>
      <c r="D31" s="4" t="n">
        <v>4179.83</v>
      </c>
      <c r="E31" s="6">
        <f>B31/B30-1</f>
        <v/>
      </c>
      <c r="F31" s="6">
        <f>C31/C30-1</f>
        <v/>
      </c>
      <c r="G31" s="6">
        <f>D31/D30-1</f>
        <v/>
      </c>
      <c r="H31" s="5" t="n">
        <v>0.0036</v>
      </c>
      <c r="I31" s="5" t="n">
        <v>0.05493181818181819</v>
      </c>
      <c r="J31" s="6">
        <f>E31-H31</f>
        <v/>
      </c>
      <c r="K31" s="6">
        <f>F31-H31</f>
        <v/>
      </c>
      <c r="L31" s="6">
        <f>G31-H31</f>
        <v/>
      </c>
      <c r="M31" s="6" t="n">
        <v>0.0034</v>
      </c>
      <c r="N31" s="6" t="n">
        <v>0.016</v>
      </c>
      <c r="O31" s="6" t="n">
        <v>-0.0779</v>
      </c>
      <c r="P31" s="6" t="n">
        <v>-0.008800000000000001</v>
      </c>
      <c r="Q31" s="6" t="n">
        <v>0.03332792829357033</v>
      </c>
      <c r="R31" s="6" t="n">
        <v>-0.003524635084375526</v>
      </c>
    </row>
    <row r="32">
      <c r="A32" s="3" t="n">
        <v>45078</v>
      </c>
      <c r="B32" s="4" t="n">
        <v>191.46</v>
      </c>
      <c r="C32" s="4" t="n">
        <v>395.69</v>
      </c>
      <c r="D32" s="4" t="n">
        <v>4450.38</v>
      </c>
      <c r="E32" s="6">
        <f>B32/B31-1</f>
        <v/>
      </c>
      <c r="F32" s="6">
        <f>C32/C31-1</f>
        <v/>
      </c>
      <c r="G32" s="6">
        <f>D32/D31-1</f>
        <v/>
      </c>
      <c r="H32" s="5" t="n">
        <v>0.004</v>
      </c>
      <c r="I32" s="5" t="n">
        <v>0.052</v>
      </c>
      <c r="J32" s="6">
        <f>E32-H32</f>
        <v/>
      </c>
      <c r="K32" s="6">
        <f>F32-H32</f>
        <v/>
      </c>
      <c r="L32" s="6">
        <f>G32-H32</f>
        <v/>
      </c>
      <c r="M32" s="6" t="n">
        <v>0.0646</v>
      </c>
      <c r="N32" s="6" t="n">
        <v>0.0149</v>
      </c>
      <c r="O32" s="6" t="n">
        <v>-0.0013</v>
      </c>
      <c r="P32" s="6" t="n">
        <v>-0.0269</v>
      </c>
      <c r="Q32" s="6" t="n">
        <v>0.01880136084599558</v>
      </c>
      <c r="R32" s="6" t="n">
        <v>-0.006705560462820948</v>
      </c>
    </row>
    <row r="33">
      <c r="A33" s="3" t="n">
        <v>45108</v>
      </c>
      <c r="B33" s="4" t="n">
        <v>193.91</v>
      </c>
      <c r="C33" s="4" t="n">
        <v>409.98</v>
      </c>
      <c r="D33" s="4" t="n">
        <v>4588.96</v>
      </c>
      <c r="E33" s="6">
        <f>B33/B32-1</f>
        <v/>
      </c>
      <c r="F33" s="6">
        <f>C33/C32-1</f>
        <v/>
      </c>
      <c r="G33" s="6">
        <f>D33/D32-1</f>
        <v/>
      </c>
      <c r="H33" s="5" t="n">
        <v>0.004500000000000001</v>
      </c>
      <c r="I33" s="5" t="n">
        <v>0.05386999999999999</v>
      </c>
      <c r="J33" s="6">
        <f>E33-H33</f>
        <v/>
      </c>
      <c r="K33" s="6">
        <f>F33-H33</f>
        <v/>
      </c>
      <c r="L33" s="6">
        <f>G33-H33</f>
        <v/>
      </c>
      <c r="M33" s="6" t="n">
        <v>0.0321</v>
      </c>
      <c r="N33" s="6" t="n">
        <v>0.0205</v>
      </c>
      <c r="O33" s="6" t="n">
        <v>0.0406</v>
      </c>
      <c r="P33" s="6" t="n">
        <v>-0.0406</v>
      </c>
      <c r="Q33" s="6" t="n">
        <v>-0.03001637985244961</v>
      </c>
      <c r="R33" s="6" t="n">
        <v>-0.0009390695330546775</v>
      </c>
    </row>
    <row r="34">
      <c r="A34" s="3" t="n">
        <v>45139</v>
      </c>
      <c r="B34" s="4" t="n">
        <v>185.44</v>
      </c>
      <c r="C34" s="4" t="n">
        <v>403.45</v>
      </c>
      <c r="D34" s="4" t="n">
        <v>4507.66</v>
      </c>
      <c r="E34" s="6">
        <f>B34/B33-1</f>
        <v/>
      </c>
      <c r="F34" s="6">
        <f>C34/C33-1</f>
        <v/>
      </c>
      <c r="G34" s="6">
        <f>D34/D33-1</f>
        <v/>
      </c>
      <c r="H34" s="5" t="n">
        <v>0.004500000000000001</v>
      </c>
      <c r="I34" s="5" t="n">
        <v>0.05535652173913044</v>
      </c>
      <c r="J34" s="6">
        <f>E34-H34</f>
        <v/>
      </c>
      <c r="K34" s="6">
        <f>F34-H34</f>
        <v/>
      </c>
      <c r="L34" s="6">
        <f>G34-H34</f>
        <v/>
      </c>
      <c r="M34" s="6" t="n">
        <v>-0.0236</v>
      </c>
      <c r="N34" s="6" t="n">
        <v>-0.0314</v>
      </c>
      <c r="O34" s="6" t="n">
        <v>-0.0115</v>
      </c>
      <c r="P34" s="6" t="n">
        <v>0.0378</v>
      </c>
      <c r="Q34" s="6" t="n">
        <v>-0.02702873705702609</v>
      </c>
      <c r="R34" s="6" t="n">
        <v>0.001974188963400306</v>
      </c>
    </row>
    <row r="35">
      <c r="A35" s="3" t="n">
        <v>45170</v>
      </c>
      <c r="B35" s="4" t="n">
        <v>169.23</v>
      </c>
      <c r="C35" s="4" t="n">
        <v>382.75</v>
      </c>
      <c r="D35" s="4" t="n">
        <v>4288.05</v>
      </c>
      <c r="E35" s="6">
        <f>B35/B34-1</f>
        <v/>
      </c>
      <c r="F35" s="6">
        <f>C35/C34-1</f>
        <v/>
      </c>
      <c r="G35" s="6">
        <f>D35/D34-1</f>
        <v/>
      </c>
      <c r="H35" s="5" t="n">
        <v>0.0043</v>
      </c>
      <c r="I35" s="5" t="n">
        <v>0.05526999999999999</v>
      </c>
      <c r="J35" s="6">
        <f>E35-H35</f>
        <v/>
      </c>
      <c r="K35" s="6">
        <f>F35-H35</f>
        <v/>
      </c>
      <c r="L35" s="6">
        <f>G35-H35</f>
        <v/>
      </c>
      <c r="M35" s="6" t="n">
        <v>-0.05230000000000001</v>
      </c>
      <c r="N35" s="6" t="n">
        <v>-0.0251</v>
      </c>
      <c r="O35" s="6" t="n">
        <v>0.0149</v>
      </c>
      <c r="P35" s="6" t="n">
        <v>0.0033</v>
      </c>
      <c r="Q35" s="6" t="n">
        <v>-0.03992290297318975</v>
      </c>
      <c r="R35" s="6" t="n">
        <v>-0.004889549647456762</v>
      </c>
    </row>
    <row r="36">
      <c r="A36" s="3" t="n">
        <v>45200</v>
      </c>
      <c r="B36" s="4" t="n">
        <v>168.79</v>
      </c>
      <c r="C36" s="4" t="n">
        <v>376.11</v>
      </c>
      <c r="D36" s="4" t="n">
        <v>4193.8</v>
      </c>
      <c r="E36" s="6">
        <f>B36/B35-1</f>
        <v/>
      </c>
      <c r="F36" s="6">
        <f>C36/C35-1</f>
        <v/>
      </c>
      <c r="G36" s="6">
        <f>D36/D35-1</f>
        <v/>
      </c>
      <c r="H36" s="5" t="n">
        <v>0.004699999999999999</v>
      </c>
      <c r="I36" s="5" t="n">
        <v>0.05573333333333333</v>
      </c>
      <c r="J36" s="6">
        <f>E36-H36</f>
        <v/>
      </c>
      <c r="K36" s="6">
        <f>F36-H36</f>
        <v/>
      </c>
      <c r="L36" s="6">
        <f>G36-H36</f>
        <v/>
      </c>
      <c r="M36" s="6" t="n">
        <v>-0.0315</v>
      </c>
      <c r="N36" s="6" t="n">
        <v>-0.0386</v>
      </c>
      <c r="O36" s="6" t="n">
        <v>0.002</v>
      </c>
      <c r="P36" s="6" t="n">
        <v>0.0167</v>
      </c>
      <c r="Q36" s="6" t="n">
        <v>0.02228517685841032</v>
      </c>
      <c r="R36" s="6" t="n">
        <v>0.008147991659174146</v>
      </c>
    </row>
    <row r="37">
      <c r="A37" s="3" t="n">
        <v>45231</v>
      </c>
      <c r="B37" s="4" t="n">
        <v>187.75</v>
      </c>
      <c r="C37" s="4" t="n">
        <v>410.44</v>
      </c>
      <c r="D37" s="4" t="n">
        <v>4567.8</v>
      </c>
      <c r="E37" s="6">
        <f>B37/B36-1</f>
        <v/>
      </c>
      <c r="F37" s="6">
        <f>C37/C36-1</f>
        <v/>
      </c>
      <c r="G37" s="6">
        <f>D37/D36-1</f>
        <v/>
      </c>
      <c r="H37" s="5" t="n">
        <v>0.0044</v>
      </c>
      <c r="I37" s="5" t="n">
        <v>0.05531904761904762</v>
      </c>
      <c r="J37" s="6">
        <f>E37-H37</f>
        <v/>
      </c>
      <c r="K37" s="6">
        <f>F37-H37</f>
        <v/>
      </c>
      <c r="L37" s="6">
        <f>G37-H37</f>
        <v/>
      </c>
      <c r="M37" s="6" t="n">
        <v>0.0888</v>
      </c>
      <c r="N37" s="6" t="n">
        <v>-0.001</v>
      </c>
      <c r="O37" s="6" t="n">
        <v>0.0167</v>
      </c>
      <c r="P37" s="6" t="n">
        <v>0.0256</v>
      </c>
      <c r="Q37" s="6" t="n">
        <v>0.009084457687413561</v>
      </c>
      <c r="R37" s="6" t="n">
        <v>-0.001618330165148146</v>
      </c>
    </row>
    <row r="38">
      <c r="A38" s="3" t="n">
        <v>45261</v>
      </c>
      <c r="B38" s="4" t="n">
        <v>190.55</v>
      </c>
      <c r="C38" s="4" t="n">
        <v>427.32</v>
      </c>
      <c r="D38" s="4" t="n">
        <v>4769.83</v>
      </c>
      <c r="E38" s="6">
        <f>B38/B37-1</f>
        <v/>
      </c>
      <c r="F38" s="6">
        <f>C38/C37-1</f>
        <v/>
      </c>
      <c r="G38" s="6">
        <f>D38/D37-1</f>
        <v/>
      </c>
      <c r="H38" s="5" t="n">
        <v>0.0043</v>
      </c>
      <c r="I38" s="5" t="n">
        <v>0.05539499999999999</v>
      </c>
      <c r="J38" s="6">
        <f>E38-H38</f>
        <v/>
      </c>
      <c r="K38" s="6">
        <f>F38-H38</f>
        <v/>
      </c>
      <c r="L38" s="6">
        <f>G38-H38</f>
        <v/>
      </c>
      <c r="M38" s="6" t="n">
        <v>0.04849999999999999</v>
      </c>
      <c r="N38" s="6" t="n">
        <v>0.063</v>
      </c>
      <c r="O38" s="6" t="n">
        <v>0.0489</v>
      </c>
      <c r="P38" s="6" t="n">
        <v>-0.0553</v>
      </c>
      <c r="Q38" s="6" t="n">
        <v>-0.04520762056218623</v>
      </c>
      <c r="R38" s="6" t="n">
        <v>-0.01190724812383836</v>
      </c>
    </row>
    <row r="39">
      <c r="A39" s="3" t="n">
        <v>45292</v>
      </c>
      <c r="B39" s="4" t="n">
        <v>182.5</v>
      </c>
      <c r="C39" s="4" t="n">
        <v>436.27</v>
      </c>
      <c r="D39" s="4" t="n">
        <v>4845.65</v>
      </c>
      <c r="E39" s="6">
        <f>B39/B38-1</f>
        <v/>
      </c>
      <c r="F39" s="6">
        <f>C39/C38-1</f>
        <v/>
      </c>
      <c r="G39" s="6">
        <f>D39/D38-1</f>
        <v/>
      </c>
      <c r="H39" s="5" t="n">
        <v>0.004699999999999999</v>
      </c>
      <c r="I39" s="5" t="n">
        <v>0.05537142857142859</v>
      </c>
      <c r="J39" s="6">
        <f>E39-H39</f>
        <v/>
      </c>
      <c r="K39" s="6">
        <f>F39-H39</f>
        <v/>
      </c>
      <c r="L39" s="6">
        <f>G39-H39</f>
        <v/>
      </c>
      <c r="M39" s="6" t="n">
        <v>0.0073</v>
      </c>
      <c r="N39" s="6" t="n">
        <v>-0.0507</v>
      </c>
      <c r="O39" s="6" t="n">
        <v>-0.0238</v>
      </c>
      <c r="P39" s="6" t="n">
        <v>0.0542</v>
      </c>
      <c r="Q39" s="6" t="n">
        <v>-0.05878297606544287</v>
      </c>
      <c r="R39" s="6" t="n">
        <v>0.008159583938603682</v>
      </c>
    </row>
    <row r="40">
      <c r="A40" s="3" t="n">
        <v>45323</v>
      </c>
      <c r="B40" s="4" t="n">
        <v>178.89</v>
      </c>
      <c r="C40" s="4" t="n">
        <v>459.55</v>
      </c>
      <c r="D40" s="4" t="n">
        <v>5096.27</v>
      </c>
      <c r="E40" s="6">
        <f>B40/B39-1</f>
        <v/>
      </c>
      <c r="F40" s="6">
        <f>C40/C39-1</f>
        <v/>
      </c>
      <c r="G40" s="6">
        <f>D40/D39-1</f>
        <v/>
      </c>
      <c r="H40" s="5" t="n">
        <v>0.0042</v>
      </c>
      <c r="I40" s="5" t="n">
        <v>0.05490999999999999</v>
      </c>
      <c r="J40" s="6">
        <f>E40-H40</f>
        <v/>
      </c>
      <c r="K40" s="6">
        <f>F40-H40</f>
        <v/>
      </c>
      <c r="L40" s="6">
        <f>G40-H40</f>
        <v/>
      </c>
      <c r="M40" s="6" t="n">
        <v>0.0507</v>
      </c>
      <c r="N40" s="6" t="n">
        <v>-0.0024</v>
      </c>
      <c r="O40" s="6" t="n">
        <v>-0.0343</v>
      </c>
      <c r="P40" s="6" t="n">
        <v>0.049</v>
      </c>
      <c r="Q40" s="6" t="n">
        <v>-0.08215056330929543</v>
      </c>
      <c r="R40" s="6" t="n">
        <v>-0.001742967782112276</v>
      </c>
    </row>
    <row r="41">
      <c r="A41" s="3" t="n">
        <v>45352</v>
      </c>
      <c r="B41" s="4" t="n">
        <v>169.93</v>
      </c>
      <c r="C41" s="4" t="n">
        <v>472.82</v>
      </c>
      <c r="D41" s="4" t="n">
        <v>5254.35</v>
      </c>
      <c r="E41" s="6">
        <f>B41/B40-1</f>
        <v/>
      </c>
      <c r="F41" s="6">
        <f>C41/C40-1</f>
        <v/>
      </c>
      <c r="G41" s="6">
        <f>D41/D40-1</f>
        <v/>
      </c>
      <c r="H41" s="5" t="n">
        <v>0.0043</v>
      </c>
      <c r="I41" s="5" t="n">
        <v>0.05510499999999999</v>
      </c>
      <c r="J41" s="6">
        <f>E41-H41</f>
        <v/>
      </c>
      <c r="K41" s="6">
        <f>F41-H41</f>
        <v/>
      </c>
      <c r="L41" s="6">
        <f>G41-H41</f>
        <v/>
      </c>
      <c r="M41" s="6" t="n">
        <v>0.0284</v>
      </c>
      <c r="N41" s="6" t="n">
        <v>-0.025</v>
      </c>
      <c r="O41" s="6" t="n">
        <v>0.0416</v>
      </c>
      <c r="P41" s="6" t="n">
        <v>-0.0032</v>
      </c>
      <c r="Q41" s="6" t="n">
        <v>-0.08874939240583832</v>
      </c>
      <c r="R41" s="6" t="n">
        <v>-0.004326613558199185</v>
      </c>
    </row>
    <row r="42">
      <c r="A42" s="3" t="n">
        <v>45383</v>
      </c>
      <c r="B42" s="4" t="n">
        <v>168.79</v>
      </c>
      <c r="C42" s="4" t="n">
        <v>454.93</v>
      </c>
      <c r="D42" s="4" t="n">
        <v>5035.69</v>
      </c>
      <c r="E42" s="6">
        <f>B42/B41-1</f>
        <v/>
      </c>
      <c r="F42" s="6">
        <f>C42/C41-1</f>
        <v/>
      </c>
      <c r="G42" s="6">
        <f>D42/D41-1</f>
        <v/>
      </c>
      <c r="H42" s="5" t="n">
        <v>0.004699999999999999</v>
      </c>
      <c r="I42" s="5" t="n">
        <v>0.05483636363636363</v>
      </c>
      <c r="J42" s="6">
        <f>E42-H42</f>
        <v/>
      </c>
      <c r="K42" s="6">
        <f>F42-H42</f>
        <v/>
      </c>
      <c r="L42" s="6">
        <f>G42-H42</f>
        <v/>
      </c>
      <c r="M42" s="6" t="n">
        <v>-0.04650000000000001</v>
      </c>
      <c r="N42" s="6" t="n">
        <v>-0.0237</v>
      </c>
      <c r="O42" s="6" t="n">
        <v>-0.004500000000000001</v>
      </c>
      <c r="P42" s="6" t="n">
        <v>-0.0043</v>
      </c>
      <c r="Q42" s="6" t="n">
        <v>0.03419021731067522</v>
      </c>
      <c r="R42" s="6" t="n">
        <v>0.00245869134143361</v>
      </c>
    </row>
    <row r="43">
      <c r="A43" s="3" t="n">
        <v>45413</v>
      </c>
      <c r="B43" s="4" t="n">
        <v>190.52</v>
      </c>
      <c r="C43" s="4" t="n">
        <v>477.48</v>
      </c>
      <c r="D43" s="4" t="n">
        <v>5277.51</v>
      </c>
      <c r="E43" s="6">
        <f>B43/B42-1</f>
        <v/>
      </c>
      <c r="F43" s="6">
        <f>C43/C42-1</f>
        <v/>
      </c>
      <c r="G43" s="6">
        <f>D43/D42-1</f>
        <v/>
      </c>
      <c r="H43" s="5" t="n">
        <v>0.0044</v>
      </c>
      <c r="I43" s="5" t="n">
        <v>0.05502727272727273</v>
      </c>
      <c r="J43" s="6">
        <f>E43-H43</f>
        <v/>
      </c>
      <c r="K43" s="6">
        <f>F43-H43</f>
        <v/>
      </c>
      <c r="L43" s="6">
        <f>G43-H43</f>
        <v/>
      </c>
      <c r="M43" s="6" t="n">
        <v>0.0433</v>
      </c>
      <c r="N43" s="6" t="n">
        <v>0.005500000000000001</v>
      </c>
      <c r="O43" s="6" t="n">
        <v>-0.0131</v>
      </c>
      <c r="P43" s="6" t="n">
        <v>-0.0016</v>
      </c>
      <c r="Q43" s="6" t="n">
        <v>0.07407019172786297</v>
      </c>
      <c r="R43" s="6" t="n">
        <v>0.001564669761153582</v>
      </c>
    </row>
    <row r="44">
      <c r="A44" s="3" t="n">
        <v>45444</v>
      </c>
      <c r="B44" s="4" t="n">
        <v>209</v>
      </c>
      <c r="C44" s="4" t="n">
        <v>492.84</v>
      </c>
      <c r="D44" s="4" t="n">
        <v>5460.48</v>
      </c>
      <c r="E44" s="6">
        <f>B44/B43-1</f>
        <v/>
      </c>
      <c r="F44" s="6">
        <f>C44/C43-1</f>
        <v/>
      </c>
      <c r="G44" s="6">
        <f>D44/D43-1</f>
        <v/>
      </c>
      <c r="H44" s="5" t="n">
        <v>0.004099999999999999</v>
      </c>
      <c r="I44" s="5" t="n">
        <v>0.05456315789473685</v>
      </c>
      <c r="J44" s="6">
        <f>E44-H44</f>
        <v/>
      </c>
      <c r="K44" s="6">
        <f>F44-H44</f>
        <v/>
      </c>
      <c r="L44" s="6">
        <f>G44-H44</f>
        <v/>
      </c>
      <c r="M44" s="6" t="n">
        <v>0.028</v>
      </c>
      <c r="N44" s="6" t="n">
        <v>-0.03</v>
      </c>
      <c r="O44" s="6" t="n">
        <v>-0.0336</v>
      </c>
      <c r="P44" s="6" t="n">
        <v>0.008500000000000001</v>
      </c>
      <c r="Q44" s="6" t="n">
        <v>0.05896197483977118</v>
      </c>
      <c r="R44" s="6" t="n">
        <v>-0.0004391514533749578</v>
      </c>
    </row>
    <row r="45">
      <c r="A45" s="3" t="n">
        <v>45474</v>
      </c>
      <c r="B45" s="4" t="n">
        <v>220.38</v>
      </c>
      <c r="C45" s="4" t="n">
        <v>500.59</v>
      </c>
      <c r="D45" s="4" t="n">
        <v>5522.3</v>
      </c>
      <c r="E45" s="6">
        <f>B45/B44-1</f>
        <v/>
      </c>
      <c r="F45" s="6">
        <f>C45/C44-1</f>
        <v/>
      </c>
      <c r="G45" s="6">
        <f>D45/D44-1</f>
        <v/>
      </c>
      <c r="H45" s="5" t="n">
        <v>0.004500000000000001</v>
      </c>
      <c r="I45" s="5" t="n">
        <v>0.05482272727272727</v>
      </c>
      <c r="J45" s="6">
        <f>E45-H45</f>
        <v/>
      </c>
      <c r="K45" s="6">
        <f>F45-H45</f>
        <v/>
      </c>
      <c r="L45" s="6">
        <f>G45-H45</f>
        <v/>
      </c>
      <c r="M45" s="6" t="n">
        <v>0.0122</v>
      </c>
      <c r="N45" s="6" t="n">
        <v>0.06809999999999999</v>
      </c>
      <c r="O45" s="6" t="n">
        <v>0.0562</v>
      </c>
      <c r="P45" s="6" t="n">
        <v>-0.0235</v>
      </c>
      <c r="Q45" s="6" t="n">
        <v>0.03288178102397946</v>
      </c>
      <c r="R45" s="6" t="n">
        <v>-0.001694183578875659</v>
      </c>
    </row>
    <row r="46">
      <c r="A46" s="3" t="n">
        <v>45505</v>
      </c>
      <c r="B46" s="4" t="n">
        <v>227.24</v>
      </c>
      <c r="C46" s="4" t="n">
        <v>512.72</v>
      </c>
      <c r="D46" s="4" t="n">
        <v>5648.4</v>
      </c>
      <c r="E46" s="6">
        <f>B46/B45-1</f>
        <v/>
      </c>
      <c r="F46" s="6">
        <f>C46/C45-1</f>
        <v/>
      </c>
      <c r="G46" s="6">
        <f>D46/D45-1</f>
        <v/>
      </c>
      <c r="H46" s="5" t="n">
        <v>0.0048</v>
      </c>
      <c r="I46" s="5" t="n">
        <v>0.05499090909090909</v>
      </c>
      <c r="J46" s="6">
        <f>E46-H46</f>
        <v/>
      </c>
      <c r="K46" s="6">
        <f>F46-H46</f>
        <v/>
      </c>
      <c r="L46" s="6">
        <f>G46-H46</f>
        <v/>
      </c>
      <c r="M46" s="6" t="n">
        <v>0.016</v>
      </c>
      <c r="N46" s="6" t="n">
        <v>-0.0349</v>
      </c>
      <c r="O46" s="6" t="n">
        <v>-0.011</v>
      </c>
      <c r="P46" s="6" t="n">
        <v>0.0481</v>
      </c>
      <c r="Q46" s="6" t="n">
        <v>0.005203274551998524</v>
      </c>
      <c r="R46" s="6" t="n">
        <v>0.002762864946941387</v>
      </c>
    </row>
    <row r="47">
      <c r="A47" s="3" t="n">
        <v>45536</v>
      </c>
      <c r="B47" s="4" t="n">
        <v>231.48</v>
      </c>
      <c r="C47" s="4" t="n">
        <v>522.02</v>
      </c>
      <c r="D47" s="4" t="n">
        <v>5762.48</v>
      </c>
      <c r="E47" s="6">
        <f>B47/B46-1</f>
        <v/>
      </c>
      <c r="F47" s="6">
        <f>C47/C46-1</f>
        <v/>
      </c>
      <c r="G47" s="6">
        <f>D47/D46-1</f>
        <v/>
      </c>
      <c r="H47" s="5" t="n">
        <v>0.004</v>
      </c>
      <c r="I47" s="5" t="n">
        <v>0.05062000000000001</v>
      </c>
      <c r="J47" s="6">
        <f>E47-H47</f>
        <v/>
      </c>
      <c r="K47" s="6">
        <f>F47-H47</f>
        <v/>
      </c>
      <c r="L47" s="6">
        <f>G47-H47</f>
        <v/>
      </c>
      <c r="M47" s="6" t="n">
        <v>0.0172</v>
      </c>
      <c r="N47" s="6" t="n">
        <v>-0.0013</v>
      </c>
      <c r="O47" s="6" t="n">
        <v>-0.0276</v>
      </c>
      <c r="P47" s="6" t="n">
        <v>-0.0062</v>
      </c>
      <c r="Q47" s="6" t="n">
        <v>-0.00774718401403016</v>
      </c>
      <c r="R47" s="6" t="n">
        <v>-0.003713936447603317</v>
      </c>
    </row>
    <row r="48">
      <c r="A48" s="3" t="n">
        <v>45566</v>
      </c>
      <c r="B48" s="4" t="n">
        <v>224.44</v>
      </c>
      <c r="C48" s="4" t="n">
        <v>518.88</v>
      </c>
      <c r="D48" s="4" t="n">
        <v>5705.45</v>
      </c>
      <c r="E48" s="6">
        <f>B48/B47-1</f>
        <v/>
      </c>
      <c r="F48" s="6">
        <f>C48/C47-1</f>
        <v/>
      </c>
      <c r="G48" s="6">
        <f>D48/D47-1</f>
        <v/>
      </c>
      <c r="H48" s="5" t="n">
        <v>0.0039</v>
      </c>
      <c r="I48" s="5" t="n">
        <v>0.04920454545454546</v>
      </c>
      <c r="J48" s="6">
        <f>E48-H48</f>
        <v/>
      </c>
      <c r="K48" s="6">
        <f>F48-H48</f>
        <v/>
      </c>
      <c r="L48" s="6">
        <f>G48-H48</f>
        <v/>
      </c>
      <c r="M48" s="6" t="n">
        <v>-0.01</v>
      </c>
      <c r="N48" s="6" t="n">
        <v>-0.009899999999999999</v>
      </c>
      <c r="O48" s="6" t="n">
        <v>0.0086</v>
      </c>
      <c r="P48" s="6" t="n">
        <v>0.03</v>
      </c>
      <c r="Q48" s="6" t="n">
        <v>-0.0276807377969926</v>
      </c>
      <c r="R48" s="6" t="n">
        <v>-0.0009313956164887487</v>
      </c>
    </row>
    <row r="49">
      <c r="A49" s="3" t="n">
        <v>45597</v>
      </c>
      <c r="B49" s="4" t="n">
        <v>235.78</v>
      </c>
      <c r="C49" s="4" t="n">
        <v>549.3200000000001</v>
      </c>
      <c r="D49" s="4" t="n">
        <v>6032.38</v>
      </c>
      <c r="E49" s="6">
        <f>B49/B48-1</f>
        <v/>
      </c>
      <c r="F49" s="6">
        <f>C49/C48-1</f>
        <v/>
      </c>
      <c r="G49" s="6">
        <f>D49/D48-1</f>
        <v/>
      </c>
      <c r="H49" s="5" t="n">
        <v>0.004</v>
      </c>
      <c r="I49" s="5" t="n">
        <v>0.04714210526315789</v>
      </c>
      <c r="J49" s="6">
        <f>E49-H49</f>
        <v/>
      </c>
      <c r="K49" s="6">
        <f>F49-H49</f>
        <v/>
      </c>
      <c r="L49" s="6">
        <f>G49-H49</f>
        <v/>
      </c>
      <c r="M49" s="6" t="n">
        <v>0.0649</v>
      </c>
      <c r="N49" s="6" t="n">
        <v>0.0446</v>
      </c>
      <c r="O49" s="6" t="n">
        <v>0.0015</v>
      </c>
      <c r="P49" s="6" t="n">
        <v>0.01</v>
      </c>
      <c r="Q49" s="6" t="n">
        <v>-0.02680359919663823</v>
      </c>
      <c r="R49" s="6" t="n">
        <v>-0.01024967213539595</v>
      </c>
    </row>
    <row r="50">
      <c r="A50" s="3" t="n">
        <v>45627</v>
      </c>
      <c r="B50" s="4" t="n">
        <v>249.06</v>
      </c>
      <c r="C50" s="4" t="n">
        <v>534.52</v>
      </c>
      <c r="D50" s="4" t="n">
        <v>5881.63</v>
      </c>
      <c r="E50" s="6">
        <f>B50/B49-1</f>
        <v/>
      </c>
      <c r="F50" s="6">
        <f>C50/C49-1</f>
        <v/>
      </c>
      <c r="G50" s="6">
        <f>D50/D49-1</f>
        <v/>
      </c>
      <c r="H50" s="5" t="n">
        <v>0.0037</v>
      </c>
      <c r="I50" s="5" t="n">
        <v>0.04497142857142857</v>
      </c>
      <c r="J50" s="6">
        <f>E50-H50</f>
        <v/>
      </c>
      <c r="K50" s="6">
        <f>F50-H50</f>
        <v/>
      </c>
      <c r="L50" s="6">
        <f>G50-H50</f>
        <v/>
      </c>
      <c r="M50" s="6" t="n">
        <v>-0.0317</v>
      </c>
      <c r="N50" s="6" t="n">
        <v>-0.0271</v>
      </c>
      <c r="O50" s="6" t="n">
        <v>-0.03</v>
      </c>
      <c r="P50" s="6" t="n">
        <v>-0.003</v>
      </c>
      <c r="Q50" s="6" t="n">
        <v>0.08242239589847414</v>
      </c>
      <c r="R50" s="6" t="n">
        <v>-0.0002489464485813803</v>
      </c>
    </row>
    <row r="51">
      <c r="A51" s="3" t="n">
        <v>45658</v>
      </c>
      <c r="B51" s="4" t="n">
        <v>234.72</v>
      </c>
      <c r="C51" s="4" t="n">
        <v>551.13</v>
      </c>
      <c r="D51" s="4" t="n">
        <v>6040.53</v>
      </c>
      <c r="E51" s="6">
        <f>B51/B50-1</f>
        <v/>
      </c>
      <c r="F51" s="6">
        <f>C51/C50-1</f>
        <v/>
      </c>
      <c r="G51" s="6">
        <f>D51/D50-1</f>
        <v/>
      </c>
      <c r="H51" s="5" t="n">
        <v>0.0037</v>
      </c>
      <c r="I51" s="5" t="n">
        <v>0.04423809523809524</v>
      </c>
      <c r="J51" s="6">
        <f>E51-H51</f>
        <v/>
      </c>
      <c r="K51" s="6">
        <f>F51-H51</f>
        <v/>
      </c>
      <c r="L51" s="6">
        <f>G51-H51</f>
        <v/>
      </c>
      <c r="M51" s="6" t="n">
        <v>0.028</v>
      </c>
      <c r="N51" s="6" t="n">
        <v>-0.0197</v>
      </c>
      <c r="O51" s="6" t="n">
        <v>0.0163</v>
      </c>
      <c r="P51" s="6" t="n">
        <v>0.009599999999999999</v>
      </c>
      <c r="Q51" s="6" t="n">
        <v>-0.09521220328475762</v>
      </c>
      <c r="R51" s="6" t="n">
        <v>-0.00113342911332703</v>
      </c>
    </row>
    <row r="52">
      <c r="A52" s="3" t="n">
        <v>45689</v>
      </c>
      <c r="B52" s="4" t="n">
        <v>240.53</v>
      </c>
      <c r="C52" s="4" t="n">
        <v>543.92</v>
      </c>
      <c r="D52" s="4" t="n">
        <v>5954.5</v>
      </c>
      <c r="E52" s="6">
        <f>B52/B51-1</f>
        <v/>
      </c>
      <c r="F52" s="6">
        <f>C52/C51-1</f>
        <v/>
      </c>
      <c r="G52" s="6">
        <f>D52/D51-1</f>
        <v/>
      </c>
      <c r="H52" s="5" t="n">
        <v>0.0033</v>
      </c>
      <c r="I52" s="5" t="n">
        <v>0.04368421052631578</v>
      </c>
      <c r="J52" s="6">
        <f>E52-H52</f>
        <v/>
      </c>
      <c r="K52" s="6">
        <f>F52-H52</f>
        <v/>
      </c>
      <c r="L52" s="6">
        <f>G52-H52</f>
        <v/>
      </c>
      <c r="M52" s="6" t="n">
        <v>-0.0244</v>
      </c>
      <c r="N52" s="6" t="n">
        <v>-0.0579</v>
      </c>
      <c r="O52" s="6" t="n">
        <v>0.0491</v>
      </c>
      <c r="P52" s="6" t="n">
        <v>-0.008100000000000001</v>
      </c>
      <c r="Q52" s="6" t="n">
        <v>0.04345828035031446</v>
      </c>
      <c r="R52" s="6" t="n">
        <v>0.006808882021098431</v>
      </c>
    </row>
    <row r="53">
      <c r="A53" s="3" t="n">
        <v>45717</v>
      </c>
      <c r="B53" s="4" t="n">
        <v>221.17</v>
      </c>
      <c r="C53" s="4" t="n">
        <v>511.49</v>
      </c>
      <c r="D53" s="4" t="n">
        <v>5611.85</v>
      </c>
      <c r="E53" s="6">
        <f>B53/B52-1</f>
        <v/>
      </c>
      <c r="F53" s="6">
        <f>C53/C52-1</f>
        <v/>
      </c>
      <c r="G53" s="6">
        <f>D53/D52-1</f>
        <v/>
      </c>
      <c r="H53" s="5" t="n">
        <v>0.0034</v>
      </c>
      <c r="I53" s="5" t="n">
        <v>0.04370476190476189</v>
      </c>
      <c r="J53" s="6">
        <f>E53-H53</f>
        <v/>
      </c>
      <c r="K53" s="6">
        <f>F53-H53</f>
        <v/>
      </c>
      <c r="L53" s="6">
        <f>G53-H53</f>
        <v/>
      </c>
      <c r="M53" s="6" t="n">
        <v>-0.0639</v>
      </c>
      <c r="N53" s="6" t="n">
        <v>-0.0276</v>
      </c>
      <c r="O53" s="6" t="n">
        <v>0.029</v>
      </c>
      <c r="P53" s="6" t="n">
        <v>-0.0284</v>
      </c>
      <c r="Q53" s="6" t="n">
        <v>-0.019714197144946</v>
      </c>
      <c r="R53" s="6" t="n">
        <v>-0.0008599689955759091</v>
      </c>
    </row>
    <row r="54">
      <c r="A54" s="3" t="n">
        <v>45748</v>
      </c>
      <c r="B54" s="4" t="n">
        <v>211.58</v>
      </c>
      <c r="C54" s="4" t="n">
        <v>509.75</v>
      </c>
      <c r="D54" s="4" t="n">
        <v>5569.06</v>
      </c>
      <c r="E54" s="6">
        <f>B54/B53-1</f>
        <v/>
      </c>
      <c r="F54" s="6">
        <f>C54/C53-1</f>
        <v/>
      </c>
      <c r="G54" s="6">
        <f>D54/D53-1</f>
        <v/>
      </c>
      <c r="H54" s="5" t="n">
        <v>0.0035</v>
      </c>
      <c r="I54" s="5" t="n">
        <v>0.04353809523809524</v>
      </c>
      <c r="J54" s="6">
        <f>E54-H54</f>
        <v/>
      </c>
      <c r="K54" s="6">
        <f>F54-H54</f>
        <v/>
      </c>
      <c r="L54" s="6">
        <f>G54-H54</f>
        <v/>
      </c>
      <c r="M54" s="6" t="n">
        <v>-0.008399999999999999</v>
      </c>
      <c r="N54" s="6" t="n">
        <v>-0.0059</v>
      </c>
      <c r="O54" s="6" t="n">
        <v>-0.034</v>
      </c>
      <c r="P54" s="6" t="n">
        <v>0.04969999999999999</v>
      </c>
      <c r="Q54" s="6" t="n">
        <v>-0.04193617938623419</v>
      </c>
      <c r="R54" s="6" t="n">
        <v>0.0005032740708776056</v>
      </c>
    </row>
    <row r="55">
      <c r="A55" s="3" t="n">
        <v>45778</v>
      </c>
      <c r="B55" s="4" t="n">
        <v>199.98</v>
      </c>
      <c r="C55" s="4" t="n">
        <v>541.8200000000001</v>
      </c>
      <c r="D55" s="4" t="n">
        <v>5911.69</v>
      </c>
      <c r="E55" s="6">
        <f>B55/B54-1</f>
        <v/>
      </c>
      <c r="F55" s="6">
        <f>C55/C54-1</f>
        <v/>
      </c>
      <c r="G55" s="6">
        <f>D55/D54-1</f>
        <v/>
      </c>
      <c r="H55" s="5" t="n">
        <v>0.0038</v>
      </c>
      <c r="I55" s="5" t="n">
        <v>0.04366666666666666</v>
      </c>
      <c r="J55" s="6">
        <f>E55-H55</f>
        <v/>
      </c>
      <c r="K55" s="6">
        <f>F55-H55</f>
        <v/>
      </c>
      <c r="L55" s="6">
        <f>G55-H55</f>
        <v/>
      </c>
      <c r="M55" s="6" t="n">
        <v>0.06059999999999999</v>
      </c>
      <c r="N55" s="6" t="n">
        <v>0.006999999999999999</v>
      </c>
      <c r="O55" s="6" t="n">
        <v>-0.0288</v>
      </c>
      <c r="P55" s="6" t="n">
        <v>0.0221</v>
      </c>
      <c r="Q55" s="6" t="n">
        <v>-0.127364363698349</v>
      </c>
      <c r="R55" s="6" t="n">
        <v>-0.001558809813728364</v>
      </c>
    </row>
    <row r="56">
      <c r="A56" s="3" t="n">
        <v>45809</v>
      </c>
      <c r="B56" s="4" t="n">
        <v>204.55</v>
      </c>
      <c r="C56" s="4" t="n">
        <v>567.63</v>
      </c>
      <c r="D56" s="4" t="n">
        <v>6204.95</v>
      </c>
      <c r="E56" s="6">
        <f>B56/B55-1</f>
        <v/>
      </c>
      <c r="F56" s="6">
        <f>C56/C55-1</f>
        <v/>
      </c>
      <c r="G56" s="6">
        <f>D56/D55-1</f>
        <v/>
      </c>
      <c r="H56" s="5" t="n">
        <v>0.0034</v>
      </c>
      <c r="I56" s="5" t="n">
        <v>0.04244</v>
      </c>
      <c r="J56" s="6">
        <f>E56-H56</f>
        <v/>
      </c>
      <c r="K56" s="6">
        <f>F56-H56</f>
        <v/>
      </c>
      <c r="L56" s="6">
        <f>G56-H56</f>
        <v/>
      </c>
      <c r="M56" s="6" t="n">
        <v>0.0486</v>
      </c>
      <c r="N56" s="6" t="n">
        <v>0.0083</v>
      </c>
      <c r="O56" s="6" t="n">
        <v>-0.0161</v>
      </c>
      <c r="P56" s="6" t="n">
        <v>-0.0264</v>
      </c>
      <c r="Q56" s="6" t="n">
        <v>-0.03647554189115065</v>
      </c>
      <c r="R56" s="6" t="n">
        <v>-0.004596760251053739</v>
      </c>
    </row>
    <row r="57">
      <c r="A57" s="3" t="n">
        <v>45839</v>
      </c>
      <c r="B57" s="4" t="n">
        <v>206.94</v>
      </c>
      <c r="C57" s="4" t="n">
        <v>582.1</v>
      </c>
      <c r="D57" s="4" t="n">
        <v>6339.39</v>
      </c>
      <c r="E57" s="6">
        <f>B57/B56-1</f>
        <v/>
      </c>
      <c r="F57" s="6">
        <f>C57/C56-1</f>
        <v/>
      </c>
      <c r="G57" s="6">
        <f>D57/D56-1</f>
        <v/>
      </c>
      <c r="H57" s="5" t="n">
        <v>0.0034</v>
      </c>
      <c r="I57" s="5" t="n">
        <v>0.04370454545454546</v>
      </c>
      <c r="J57" s="6">
        <f>E57-H57</f>
        <v/>
      </c>
      <c r="K57" s="6">
        <f>F57-H57</f>
        <v/>
      </c>
      <c r="L57" s="6">
        <f>G57-H57</f>
        <v/>
      </c>
      <c r="M57" s="6" t="n">
        <v>0.0198</v>
      </c>
      <c r="N57" s="6" t="n">
        <v>0.0027</v>
      </c>
      <c r="O57" s="6" t="n">
        <v>-0.0127</v>
      </c>
      <c r="P57" s="6" t="n">
        <v>-0.0097</v>
      </c>
      <c r="Q57" s="6" t="n">
        <v>-0.01689738945319351</v>
      </c>
      <c r="R57" s="6" t="n">
        <v>0.001674242026644887</v>
      </c>
    </row>
    <row r="58">
      <c r="A58" s="3" t="n">
        <v>45870</v>
      </c>
      <c r="B58" s="4" t="n">
        <v>231.44</v>
      </c>
      <c r="C58" s="4" t="n">
        <v>593.89</v>
      </c>
      <c r="D58" s="4" t="n">
        <v>6460.26</v>
      </c>
      <c r="E58" s="6">
        <f>B58/B57-1</f>
        <v/>
      </c>
      <c r="F58" s="6">
        <f>C58/C57-1</f>
        <v/>
      </c>
      <c r="G58" s="6">
        <f>D58/D57-1</f>
        <v/>
      </c>
      <c r="H58" s="5" t="n">
        <v>0.0038</v>
      </c>
      <c r="I58" s="5" t="n">
        <v>0.04460476190476191</v>
      </c>
      <c r="J58" s="6">
        <f>E58-H58</f>
        <v/>
      </c>
      <c r="K58" s="6">
        <f>F58-H58</f>
        <v/>
      </c>
      <c r="L58" s="6">
        <f>G58-H58</f>
        <v/>
      </c>
      <c r="M58" s="6" t="n">
        <v>0.0184</v>
      </c>
      <c r="N58" s="6" t="n">
        <v>0.0387</v>
      </c>
      <c r="O58" s="6" t="n">
        <v>0.0442</v>
      </c>
      <c r="P58" s="6" t="n">
        <v>-0.0354</v>
      </c>
      <c r="Q58" s="6" t="n">
        <v>0.09090483965320084</v>
      </c>
      <c r="R58" s="6" t="n">
        <v>-0.002582189369196748</v>
      </c>
    </row>
    <row r="59">
      <c r="A59" s="3" t="n">
        <v>45901</v>
      </c>
      <c r="B59" s="4" t="n">
        <v>254.15</v>
      </c>
      <c r="C59" s="4" t="n">
        <v>613.8200000000001</v>
      </c>
      <c r="D59" s="4" t="n">
        <v>6688.46</v>
      </c>
      <c r="E59" s="6">
        <f>B59/B58-1</f>
        <v/>
      </c>
      <c r="F59" s="6">
        <f>C59/C58-1</f>
        <v/>
      </c>
      <c r="G59" s="6">
        <f>D59/D58-1</f>
        <v/>
      </c>
      <c r="H59" s="5" t="n">
        <v>0.0033</v>
      </c>
      <c r="I59" s="5" t="n">
        <v>0.04235238095238095</v>
      </c>
      <c r="J59" s="6">
        <f>E59-H59</f>
        <v/>
      </c>
      <c r="K59" s="6">
        <f>F59-H59</f>
        <v/>
      </c>
      <c r="L59" s="6">
        <f>G59-H59</f>
        <v/>
      </c>
      <c r="M59" s="6" t="n">
        <v>0.0339</v>
      </c>
      <c r="N59" s="6" t="n">
        <v>-0.0185</v>
      </c>
      <c r="O59" s="6" t="n">
        <v>-0.0105</v>
      </c>
      <c r="P59" s="6" t="n">
        <v>0.0463</v>
      </c>
      <c r="Q59" s="6" t="n">
        <v>0.05459035674430777</v>
      </c>
      <c r="R59" s="6" t="n">
        <v>-0.004070720627130518</v>
      </c>
    </row>
    <row r="60">
      <c r="A60" s="3" t="n">
        <v>45931</v>
      </c>
      <c r="B60" s="4" t="n">
        <v>269.86</v>
      </c>
      <c r="C60" s="4" t="n">
        <v>629.95</v>
      </c>
      <c r="D60" s="4" t="n">
        <v>6840.2</v>
      </c>
      <c r="E60" s="6">
        <f>B60/B59-1</f>
        <v/>
      </c>
      <c r="F60" s="6">
        <f>C60/C59-1</f>
        <v/>
      </c>
      <c r="G60" s="6">
        <f>D60/D59-1</f>
        <v/>
      </c>
      <c r="H60" s="5" t="n">
        <v>0.0037</v>
      </c>
      <c r="I60" s="5" t="n">
        <v>0.04151363636363636</v>
      </c>
      <c r="J60" s="6">
        <f>E60-H60</f>
        <v/>
      </c>
      <c r="K60" s="6">
        <f>F60-H60</f>
        <v/>
      </c>
      <c r="L60" s="6">
        <f>G60-H60</f>
        <v/>
      </c>
      <c r="M60" s="6" t="n">
        <v>0.0196</v>
      </c>
      <c r="N60" s="6" t="n">
        <v>-0.005500000000000001</v>
      </c>
      <c r="O60" s="6" t="n">
        <v>-0.031</v>
      </c>
      <c r="P60" s="6" t="n">
        <v>0.0027</v>
      </c>
      <c r="Q60" s="6" t="n">
        <v>0.03314583083122064</v>
      </c>
      <c r="R60" s="6" t="n">
        <v>0.002357671145062554</v>
      </c>
    </row>
    <row r="61">
      <c r="A61" s="3" t="n">
        <v>45962</v>
      </c>
      <c r="B61" s="4" t="n">
        <v>278.32</v>
      </c>
      <c r="C61" s="4" t="n">
        <v>631.47</v>
      </c>
      <c r="D61" s="4" t="n">
        <v>6849.09</v>
      </c>
      <c r="E61" s="6">
        <f>B61/B60-1</f>
        <v/>
      </c>
      <c r="F61" s="6">
        <f>C61/C60-1</f>
        <v/>
      </c>
      <c r="G61" s="6">
        <f>D61/D60-1</f>
        <v/>
      </c>
      <c r="H61" s="5" t="n">
        <v>0.003</v>
      </c>
      <c r="I61" s="5" t="n">
        <v>0.04032777777777777</v>
      </c>
      <c r="J61" s="6">
        <f>E61-H61</f>
        <v/>
      </c>
      <c r="K61" s="6">
        <f>F61-H61</f>
        <v/>
      </c>
      <c r="L61" s="6">
        <f>G61-H61</f>
        <v/>
      </c>
      <c r="M61" s="6" t="n">
        <v>-0.0013</v>
      </c>
      <c r="N61" s="6" t="n">
        <v>0.0038</v>
      </c>
      <c r="O61" s="6" t="n">
        <v>0.03759999999999999</v>
      </c>
      <c r="P61" s="6" t="n">
        <v>-0.018</v>
      </c>
      <c r="Q61" s="6" t="n">
        <v>0.02569391496712614</v>
      </c>
      <c r="R61" s="6" t="n">
        <v>-0.0001870451812073436</v>
      </c>
    </row>
    <row r="62">
      <c r="A62" s="3" t="n">
        <v>45992</v>
      </c>
      <c r="B62" s="4" t="n">
        <v>271.61</v>
      </c>
      <c r="C62" s="4" t="n">
        <v>630.0700000000001</v>
      </c>
      <c r="D62" s="4" t="n">
        <v>6845.5</v>
      </c>
      <c r="E62" s="6">
        <f>B62/B61-1</f>
        <v/>
      </c>
      <c r="F62" s="6">
        <f>C62/C61-1</f>
        <v/>
      </c>
      <c r="G62" s="6">
        <f>D62/D61-1</f>
        <v/>
      </c>
      <c r="H62" s="5" t="n">
        <v>0.0034</v>
      </c>
      <c r="I62" s="5" t="n">
        <v>0.03769090909090909</v>
      </c>
      <c r="J62" s="6">
        <f>E62-H62</f>
        <v/>
      </c>
      <c r="K62" s="6">
        <f>F62-H62</f>
        <v/>
      </c>
      <c r="L62" s="6">
        <f>G62-H62</f>
        <v/>
      </c>
      <c r="M62" s="6" t="n">
        <v>-0.0036</v>
      </c>
      <c r="N62" s="6" t="n">
        <v>-0.0106</v>
      </c>
      <c r="O62" s="6" t="n">
        <v>0.0242</v>
      </c>
      <c r="P62" s="6" t="n">
        <v>-0.024</v>
      </c>
      <c r="Q62" s="6" t="n">
        <v>-0.02770918314212299</v>
      </c>
      <c r="R62" s="6" t="n">
        <v>-0.002947747445282775</v>
      </c>
    </row>
    <row r="63">
      <c r="A63" s="3" t="n">
        <v>46023</v>
      </c>
      <c r="B63" s="4" t="n">
        <v>259.24</v>
      </c>
      <c r="C63" s="4" t="n">
        <v>640.98</v>
      </c>
      <c r="D63" s="4" t="n">
        <v>6939.03</v>
      </c>
      <c r="E63" s="6">
        <f>B63/B62-1</f>
        <v/>
      </c>
      <c r="F63" s="6">
        <f>C63/C62-1</f>
        <v/>
      </c>
      <c r="G63" s="6">
        <f>D63/D62-1</f>
        <v/>
      </c>
      <c r="H63" s="5" t="n">
        <v>0.003</v>
      </c>
      <c r="I63" s="5" t="n">
        <v>0.037345</v>
      </c>
      <c r="J63" s="6">
        <f>E63-H63</f>
        <v/>
      </c>
      <c r="K63" s="6">
        <f>F63-H63</f>
        <v/>
      </c>
      <c r="L63" s="6">
        <f>G63-H63</f>
        <v/>
      </c>
      <c r="M63" s="6" t="n">
        <v>0.0102</v>
      </c>
      <c r="N63" s="6" t="n">
        <v>0.0221</v>
      </c>
      <c r="O63" s="6" t="n">
        <v>0.03700000000000001</v>
      </c>
      <c r="P63" s="6" t="n">
        <v>0.0495</v>
      </c>
      <c r="Q63" s="6" t="n">
        <v>-0.06347606544089365</v>
      </c>
      <c r="R63" s="6" t="n">
        <v>0.003369417498569482</v>
      </c>
    </row>
    <row r="64">
      <c r="A64" s="3" t="n">
        <v>46054</v>
      </c>
      <c r="B64" s="4" t="n">
        <v>263.93</v>
      </c>
      <c r="C64" s="4" t="n">
        <v>636.09</v>
      </c>
      <c r="D64" s="4" t="n">
        <v>6878.88</v>
      </c>
      <c r="E64" s="6">
        <f>B64/B63-1</f>
        <v/>
      </c>
      <c r="F64" s="6">
        <f>C64/C63-1</f>
        <v/>
      </c>
      <c r="G64" s="6">
        <f>D64/D63-1</f>
        <v/>
      </c>
      <c r="I64" s="5" t="n">
        <v>0.03720526315789473</v>
      </c>
      <c r="J64" s="6">
        <f>E64-H64</f>
        <v/>
      </c>
      <c r="K64" s="6">
        <f>F64-H64</f>
        <v/>
      </c>
      <c r="L64" s="6">
        <f>G64-H64</f>
        <v/>
      </c>
      <c r="Q64" s="6" t="n">
        <v>0.01404781852784766</v>
      </c>
      <c r="R64" s="6" t="n">
        <v>-0.008511490353032676</v>
      </c>
    </row>
    <row r="65">
      <c r="A65" s="3" t="n">
        <v>46082</v>
      </c>
      <c r="B65" s="4" t="n">
        <v>260.81</v>
      </c>
      <c r="C65" s="4" t="n">
        <v>626.9</v>
      </c>
      <c r="D65" s="4" t="n">
        <v>6775.8</v>
      </c>
      <c r="E65" s="6">
        <f>B65/B64-1</f>
        <v/>
      </c>
      <c r="F65" s="6">
        <f>C65/C64-1</f>
        <v/>
      </c>
      <c r="G65" s="6">
        <f>D65/D64-1</f>
        <v/>
      </c>
      <c r="I65" s="5" t="n">
        <v>0.03748571428571429</v>
      </c>
      <c r="J65" s="6">
        <f>E65-H65</f>
        <v/>
      </c>
      <c r="K65" s="6">
        <f>F65-H65</f>
        <v/>
      </c>
      <c r="L65" s="6">
        <f>G65-H65</f>
        <v/>
      </c>
      <c r="Q65" s="6" t="n">
        <v>-0.01586484165865719</v>
      </c>
      <c r="R65" s="6" t="n">
        <v>-0.01533018822936139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Descriptive Statistics of Monthly Returns</t>
        </is>
      </c>
    </row>
    <row r="2"/>
    <row r="3">
      <c r="A3" s="2" t="inlineStr">
        <is>
          <t>Statistic</t>
        </is>
      </c>
      <c r="B3" s="2" t="inlineStr">
        <is>
          <t>AAPL</t>
        </is>
      </c>
      <c r="C3" s="2" t="inlineStr">
        <is>
          <t>VFIAX</t>
        </is>
      </c>
      <c r="D3" s="2" t="inlineStr">
        <is>
          <t>S&amp;P 500</t>
        </is>
      </c>
      <c r="E3" s="2" t="inlineStr">
        <is>
          <t>AAPL Excess</t>
        </is>
      </c>
      <c r="F3" s="2" t="inlineStr">
        <is>
          <t>VFIAX Excess</t>
        </is>
      </c>
      <c r="G3" s="2" t="inlineStr">
        <is>
          <t>S&amp;P 500 Excess</t>
        </is>
      </c>
    </row>
    <row r="4">
      <c r="A4" s="7" t="inlineStr">
        <is>
          <t>Mean</t>
        </is>
      </c>
      <c r="B4" s="5">
        <f>AVERAGE('Monthly Returns'!E5:E65)</f>
        <v/>
      </c>
      <c r="C4" s="5">
        <f>AVERAGE('Monthly Returns'!F5:F65)</f>
        <v/>
      </c>
      <c r="D4" s="5">
        <f>AVERAGE('Monthly Returns'!G5:G65)</f>
        <v/>
      </c>
      <c r="E4" s="5">
        <f>AVERAGE('Monthly Returns'!J5:J65)</f>
        <v/>
      </c>
      <c r="F4" s="5">
        <f>AVERAGE('Monthly Returns'!K5:K65)</f>
        <v/>
      </c>
      <c r="G4" s="5">
        <f>AVERAGE('Monthly Returns'!L5:L65)</f>
        <v/>
      </c>
    </row>
    <row r="5">
      <c r="A5" s="7" t="inlineStr">
        <is>
          <t>Median</t>
        </is>
      </c>
      <c r="B5" s="5">
        <f>MEDIAN('Monthly Returns'!E5:E65)</f>
        <v/>
      </c>
      <c r="C5" s="5">
        <f>MEDIAN('Monthly Returns'!F5:F65)</f>
        <v/>
      </c>
      <c r="D5" s="5">
        <f>MEDIAN('Monthly Returns'!G5:G65)</f>
        <v/>
      </c>
      <c r="E5" s="5">
        <f>MEDIAN('Monthly Returns'!J5:J65)</f>
        <v/>
      </c>
      <c r="F5" s="5">
        <f>MEDIAN('Monthly Returns'!K5:K65)</f>
        <v/>
      </c>
      <c r="G5" s="5">
        <f>MEDIAN('Monthly Returns'!L5:L65)</f>
        <v/>
      </c>
    </row>
    <row r="6">
      <c r="A6" s="7" t="inlineStr">
        <is>
          <t>Std Dev</t>
        </is>
      </c>
      <c r="B6" s="5">
        <f>STDEV('Monthly Returns'!E5:E65)</f>
        <v/>
      </c>
      <c r="C6" s="5">
        <f>STDEV('Monthly Returns'!F5:F65)</f>
        <v/>
      </c>
      <c r="D6" s="5">
        <f>STDEV('Monthly Returns'!G5:G65)</f>
        <v/>
      </c>
      <c r="E6" s="5">
        <f>STDEV('Monthly Returns'!J5:J65)</f>
        <v/>
      </c>
      <c r="F6" s="5">
        <f>STDEV('Monthly Returns'!K5:K65)</f>
        <v/>
      </c>
      <c r="G6" s="5">
        <f>STDEV('Monthly Returns'!L5:L65)</f>
        <v/>
      </c>
    </row>
    <row r="7">
      <c r="A7" s="7" t="inlineStr">
        <is>
          <t>Variance</t>
        </is>
      </c>
      <c r="B7" s="5">
        <f>VAR('Monthly Returns'!E5:E65)</f>
        <v/>
      </c>
      <c r="C7" s="5">
        <f>VAR('Monthly Returns'!F5:F65)</f>
        <v/>
      </c>
      <c r="D7" s="5">
        <f>VAR('Monthly Returns'!G5:G65)</f>
        <v/>
      </c>
      <c r="E7" s="5">
        <f>VAR('Monthly Returns'!J5:J65)</f>
        <v/>
      </c>
      <c r="F7" s="5">
        <f>VAR('Monthly Returns'!K5:K65)</f>
        <v/>
      </c>
      <c r="G7" s="5">
        <f>VAR('Monthly Returns'!L5:L65)</f>
        <v/>
      </c>
    </row>
    <row r="8">
      <c r="A8" s="7" t="inlineStr">
        <is>
          <t>Min</t>
        </is>
      </c>
      <c r="B8" s="5">
        <f>MIN('Monthly Returns'!E5:E65)</f>
        <v/>
      </c>
      <c r="C8" s="5">
        <f>MIN('Monthly Returns'!F5:F65)</f>
        <v/>
      </c>
      <c r="D8" s="5">
        <f>MIN('Monthly Returns'!G5:G65)</f>
        <v/>
      </c>
      <c r="E8" s="5">
        <f>MIN('Monthly Returns'!J5:J65)</f>
        <v/>
      </c>
      <c r="F8" s="5">
        <f>MIN('Monthly Returns'!K5:K65)</f>
        <v/>
      </c>
      <c r="G8" s="5">
        <f>MIN('Monthly Returns'!L5:L65)</f>
        <v/>
      </c>
    </row>
    <row r="9">
      <c r="A9" s="7" t="inlineStr">
        <is>
          <t>Max</t>
        </is>
      </c>
      <c r="B9" s="5">
        <f>MAX('Monthly Returns'!E5:E65)</f>
        <v/>
      </c>
      <c r="C9" s="5">
        <f>MAX('Monthly Returns'!F5:F65)</f>
        <v/>
      </c>
      <c r="D9" s="5">
        <f>MAX('Monthly Returns'!G5:G65)</f>
        <v/>
      </c>
      <c r="E9" s="5">
        <f>MAX('Monthly Returns'!J5:J65)</f>
        <v/>
      </c>
      <c r="F9" s="5">
        <f>MAX('Monthly Returns'!K5:K65)</f>
        <v/>
      </c>
      <c r="G9" s="5">
        <f>MAX('Monthly Returns'!L5:L65)</f>
        <v/>
      </c>
    </row>
    <row r="10">
      <c r="A10" s="7" t="inlineStr">
        <is>
          <t>Skewness</t>
        </is>
      </c>
      <c r="B10" s="8">
        <f>SKEW('Monthly Returns'!E5:E65)</f>
        <v/>
      </c>
      <c r="C10" s="8">
        <f>SKEW('Monthly Returns'!F5:F65)</f>
        <v/>
      </c>
      <c r="D10" s="8">
        <f>SKEW('Monthly Returns'!G5:G65)</f>
        <v/>
      </c>
      <c r="E10" s="8">
        <f>SKEW('Monthly Returns'!J5:J65)</f>
        <v/>
      </c>
      <c r="F10" s="8">
        <f>SKEW('Monthly Returns'!K5:K65)</f>
        <v/>
      </c>
      <c r="G10" s="8">
        <f>SKEW('Monthly Returns'!L5:L65)</f>
        <v/>
      </c>
    </row>
    <row r="11">
      <c r="A11" s="7" t="inlineStr">
        <is>
          <t>Kurtosis</t>
        </is>
      </c>
      <c r="B11" s="8">
        <f>KURT('Monthly Returns'!E5:E65)</f>
        <v/>
      </c>
      <c r="C11" s="8">
        <f>KURT('Monthly Returns'!F5:F65)</f>
        <v/>
      </c>
      <c r="D11" s="8">
        <f>KURT('Monthly Returns'!G5:G65)</f>
        <v/>
      </c>
      <c r="E11" s="8">
        <f>KURT('Monthly Returns'!J5:J65)</f>
        <v/>
      </c>
      <c r="F11" s="8">
        <f>KURT('Monthly Returns'!K5:K65)</f>
        <v/>
      </c>
      <c r="G11" s="8">
        <f>KURT('Monthly Returns'!L5:L65)</f>
        <v/>
      </c>
    </row>
    <row r="12">
      <c r="A12" s="7" t="inlineStr">
        <is>
          <t>Count</t>
        </is>
      </c>
      <c r="B12" s="9">
        <f>COUNT('Monthly Returns'!E5:E65)</f>
        <v/>
      </c>
      <c r="C12" s="9">
        <f>COUNT('Monthly Returns'!F5:F65)</f>
        <v/>
      </c>
      <c r="D12" s="9">
        <f>COUNT('Monthly Returns'!G5:G65)</f>
        <v/>
      </c>
      <c r="E12" s="9">
        <f>COUNT('Monthly Returns'!J5:J65)</f>
        <v/>
      </c>
      <c r="F12" s="9">
        <f>COUNT('Monthly Returns'!K5:K65)</f>
        <v/>
      </c>
      <c r="G12" s="9">
        <f>COUNT('Monthly Returns'!L5:L65)</f>
        <v/>
      </c>
    </row>
    <row r="13"/>
    <row r="14">
      <c r="A14" s="10" t="inlineStr">
        <is>
          <t>Annualized Statistics</t>
        </is>
      </c>
    </row>
    <row r="15">
      <c r="A15" s="2" t="inlineStr">
        <is>
          <t>Statistic</t>
        </is>
      </c>
      <c r="B15" s="2" t="inlineStr">
        <is>
          <t>AAPL</t>
        </is>
      </c>
      <c r="C15" s="2" t="inlineStr">
        <is>
          <t>VFIAX</t>
        </is>
      </c>
      <c r="D15" s="2" t="inlineStr">
        <is>
          <t>S&amp;P 500</t>
        </is>
      </c>
    </row>
    <row r="16">
      <c r="A16" s="7" t="inlineStr">
        <is>
          <t>Annualized Return</t>
        </is>
      </c>
      <c r="B16" s="6">
        <f>(1+B4)^12-1</f>
        <v/>
      </c>
      <c r="C16" s="6">
        <f>(1+C4)^12-1</f>
        <v/>
      </c>
      <c r="D16" s="6">
        <f>(1+D4)^12-1</f>
        <v/>
      </c>
    </row>
    <row r="17">
      <c r="A17" s="7" t="inlineStr">
        <is>
          <t>Annualized Std Dev</t>
        </is>
      </c>
      <c r="B17" s="6">
        <f>B6*SQRT(12)</f>
        <v/>
      </c>
      <c r="C17" s="6">
        <f>C6*SQRT(12)</f>
        <v/>
      </c>
      <c r="D17" s="6">
        <f>D6*SQRT(12)</f>
        <v/>
      </c>
    </row>
    <row r="18">
      <c r="A18" s="7" t="inlineStr">
        <is>
          <t>Sharpe Ratio</t>
        </is>
      </c>
      <c r="B18" s="8">
        <f>((1+E4)^12-1)/(B6*SQRT(12))</f>
        <v/>
      </c>
      <c r="C18" s="8">
        <f>((1+F4)^12-1)/(C6*SQRT(12))</f>
        <v/>
      </c>
      <c r="D18" s="8">
        <f>((1+G4)^12-1)/(D6*SQRT(12))</f>
        <v/>
      </c>
    </row>
    <row r="19"/>
    <row r="20"/>
    <row r="21">
      <c r="A21" s="10" t="inlineStr">
        <is>
          <t>Correlation Matrix</t>
        </is>
      </c>
    </row>
    <row r="22">
      <c r="A22" s="2" t="inlineStr"/>
      <c r="B22" s="2" t="inlineStr">
        <is>
          <t>AAPL</t>
        </is>
      </c>
      <c r="C22" s="2" t="inlineStr">
        <is>
          <t>VFIAX</t>
        </is>
      </c>
      <c r="D22" s="2" t="inlineStr">
        <is>
          <t>S&amp;P 500</t>
        </is>
      </c>
    </row>
    <row r="23">
      <c r="A23" s="7" t="inlineStr">
        <is>
          <t>AAPL</t>
        </is>
      </c>
      <c r="B23" s="8">
        <f>CORREL('Monthly Returns'!E5:E65,'Monthly Returns'!E5:E65)</f>
        <v/>
      </c>
      <c r="C23" s="8">
        <f>CORREL('Monthly Returns'!E5:E65,'Monthly Returns'!F5:F65)</f>
        <v/>
      </c>
      <c r="D23" s="8">
        <f>CORREL('Monthly Returns'!E5:E65,'Monthly Returns'!G5:G65)</f>
        <v/>
      </c>
    </row>
    <row r="24">
      <c r="A24" s="7" t="inlineStr">
        <is>
          <t>VFIAX</t>
        </is>
      </c>
      <c r="B24" s="8">
        <f>CORREL('Monthly Returns'!F5:F65,'Monthly Returns'!E5:E65)</f>
        <v/>
      </c>
      <c r="C24" s="8">
        <f>CORREL('Monthly Returns'!F5:F65,'Monthly Returns'!F5:F65)</f>
        <v/>
      </c>
      <c r="D24" s="8">
        <f>CORREL('Monthly Returns'!F5:F65,'Monthly Returns'!G5:G65)</f>
        <v/>
      </c>
    </row>
    <row r="25">
      <c r="A25" s="7" t="inlineStr">
        <is>
          <t>S&amp;P 500</t>
        </is>
      </c>
      <c r="B25" s="8">
        <f>CORREL('Monthly Returns'!G5:G65,'Monthly Returns'!E5:E65)</f>
        <v/>
      </c>
      <c r="C25" s="8">
        <f>CORREL('Monthly Returns'!G5:G65,'Monthly Returns'!F5:F65)</f>
        <v/>
      </c>
      <c r="D25" s="8">
        <f>CORREL('Monthly Returns'!G5:G65,'Monthly Returns'!G5:G65)</f>
        <v/>
      </c>
    </row>
  </sheetData>
  <mergeCells count="3">
    <mergeCell ref="A14:G14"/>
    <mergeCell ref="A1:G1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Market Model (CAPM) Regression</t>
        </is>
      </c>
    </row>
    <row r="2">
      <c r="A2" s="11" t="inlineStr">
        <is>
          <t>R_i - R_f = α + β(R_m - R_f) + ε</t>
        </is>
      </c>
    </row>
    <row r="3"/>
    <row r="4">
      <c r="A4" s="10" t="inlineStr">
        <is>
          <t>AAPL Market Model</t>
        </is>
      </c>
    </row>
    <row r="5">
      <c r="A5" s="2" t="inlineStr">
        <is>
          <t>Statistic</t>
        </is>
      </c>
      <c r="B5" s="2" t="inlineStr">
        <is>
          <t>Value</t>
        </is>
      </c>
    </row>
    <row r="6">
      <c r="A6" s="7" t="inlineStr">
        <is>
          <t>Alpha (α)</t>
        </is>
      </c>
      <c r="B6" s="8" t="n">
        <v>0.004043525400558397</v>
      </c>
    </row>
    <row r="7">
      <c r="A7" s="7" t="inlineStr">
        <is>
          <t>Beta (β)</t>
        </is>
      </c>
      <c r="B7" s="8" t="n">
        <v>1.067578224673151</v>
      </c>
    </row>
    <row r="8">
      <c r="A8" s="7" t="inlineStr">
        <is>
          <t>R-squared</t>
        </is>
      </c>
      <c r="B8" s="8" t="n">
        <v>0.4531008081301806</v>
      </c>
    </row>
    <row r="9">
      <c r="A9" s="7" t="inlineStr">
        <is>
          <t>Std Error (α)</t>
        </is>
      </c>
      <c r="B9" s="8" t="n">
        <v>0.006755663733243551</v>
      </c>
    </row>
    <row r="10">
      <c r="A10" s="7" t="inlineStr">
        <is>
          <t>Std Error (β)</t>
        </is>
      </c>
      <c r="B10" s="8" t="n">
        <v>0.1526967956784597</v>
      </c>
    </row>
    <row r="11">
      <c r="A11" s="7" t="inlineStr">
        <is>
          <t>t-stat (α)</t>
        </is>
      </c>
      <c r="B11" s="8" t="n">
        <v>0.5985385833609286</v>
      </c>
    </row>
    <row r="12">
      <c r="A12" s="7" t="inlineStr">
        <is>
          <t>t-stat (β)</t>
        </is>
      </c>
      <c r="B12" s="8" t="n">
        <v>6.991490685378866</v>
      </c>
    </row>
    <row r="13">
      <c r="A13" s="7" t="inlineStr">
        <is>
          <t>F-statistic</t>
        </is>
      </c>
      <c r="B13" s="8" t="n">
        <v>48.88094200373952</v>
      </c>
    </row>
    <row r="14">
      <c r="A14" s="7" t="inlineStr">
        <is>
          <t>Observations</t>
        </is>
      </c>
      <c r="B14" s="8" t="n">
        <v>61</v>
      </c>
    </row>
    <row r="15">
      <c r="A15" s="7" t="inlineStr">
        <is>
          <t>Std Dev of Residuals</t>
        </is>
      </c>
      <c r="B15" s="8" t="n">
        <v>0.05140691471372628</v>
      </c>
    </row>
    <row r="16">
      <c r="A16" s="7" t="inlineStr">
        <is>
          <t>Appraisal Ratio</t>
        </is>
      </c>
      <c r="B16" s="8" t="n">
        <v>0.07865722778882751</v>
      </c>
    </row>
    <row r="17">
      <c r="A17" s="10" t="inlineStr">
        <is>
          <t>VFIAX Market Model</t>
        </is>
      </c>
    </row>
    <row r="18">
      <c r="A18" s="2" t="inlineStr">
        <is>
          <t>Statistic</t>
        </is>
      </c>
      <c r="B18" s="2" t="inlineStr">
        <is>
          <t>Value</t>
        </is>
      </c>
    </row>
    <row r="19">
      <c r="A19" s="7" t="inlineStr">
        <is>
          <t>Alpha (α)</t>
        </is>
      </c>
      <c r="B19" s="8" t="n">
        <v>0.0008825471722782096</v>
      </c>
    </row>
    <row r="20">
      <c r="A20" s="7" t="inlineStr">
        <is>
          <t>Beta (β)</t>
        </is>
      </c>
      <c r="B20" s="8" t="n">
        <v>0.9866246762869674</v>
      </c>
    </row>
    <row r="21">
      <c r="A21" s="7" t="inlineStr">
        <is>
          <t>R-squared</t>
        </is>
      </c>
      <c r="B21" s="8" t="n">
        <v>0.9813883785637134</v>
      </c>
    </row>
    <row r="22">
      <c r="A22" s="7" t="inlineStr">
        <is>
          <t>Std Error (α)</t>
        </is>
      </c>
      <c r="B22" s="8" t="n">
        <v>0.0007825925655779628</v>
      </c>
    </row>
    <row r="23">
      <c r="A23" s="7" t="inlineStr">
        <is>
          <t>Std Error (β)</t>
        </is>
      </c>
      <c r="B23" s="8" t="n">
        <v>0.01768876927628921</v>
      </c>
    </row>
    <row r="24">
      <c r="A24" s="7" t="inlineStr">
        <is>
          <t>t-stat (α)</t>
        </is>
      </c>
      <c r="B24" s="8" t="n">
        <v>1.127722407669983</v>
      </c>
    </row>
    <row r="25">
      <c r="A25" s="7" t="inlineStr">
        <is>
          <t>t-stat (β)</t>
        </is>
      </c>
      <c r="B25" s="8" t="n">
        <v>55.77689780879679</v>
      </c>
    </row>
    <row r="26">
      <c r="A26" s="7" t="inlineStr">
        <is>
          <t>F-statistic</t>
        </is>
      </c>
      <c r="B26" s="8" t="n">
        <v>3111.062329172958</v>
      </c>
    </row>
    <row r="27">
      <c r="A27" s="7" t="inlineStr">
        <is>
          <t>Observations</t>
        </is>
      </c>
      <c r="B27" s="8" t="n">
        <v>61</v>
      </c>
    </row>
    <row r="28">
      <c r="A28" s="7" t="inlineStr">
        <is>
          <t>Std Dev of Residuals</t>
        </is>
      </c>
      <c r="B28" s="8" t="n">
        <v>0.00595510239449809</v>
      </c>
    </row>
    <row r="29">
      <c r="A29" s="7" t="inlineStr">
        <is>
          <t>Appraisal Ratio</t>
        </is>
      </c>
      <c r="B29" s="8" t="n">
        <v>0.1482001674889073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1" t="inlineStr">
        <is>
          <t>Fama-French 3-Factor + Momentum (Carhart 4-Factor) Regression</t>
        </is>
      </c>
    </row>
    <row r="2">
      <c r="A2" s="11" t="inlineStr">
        <is>
          <t>R_i - R_f = α + β₁(Mkt-RF) + β₂(SMB) + β₃(HML) + β₄(Mom) + ε</t>
        </is>
      </c>
    </row>
    <row r="3"/>
    <row r="4">
      <c r="A4" s="10" t="inlineStr">
        <is>
          <t>AAPL Fama-French 4-Factor</t>
        </is>
      </c>
    </row>
    <row r="5">
      <c r="A5" s="2" t="inlineStr">
        <is>
          <t>Statistic</t>
        </is>
      </c>
      <c r="B5" s="2" t="inlineStr">
        <is>
          <t>Value</t>
        </is>
      </c>
    </row>
    <row r="6">
      <c r="A6" s="7" t="inlineStr">
        <is>
          <t>Alpha (α)</t>
        </is>
      </c>
      <c r="B6" s="8" t="n">
        <v>0.007200433600387687</v>
      </c>
    </row>
    <row r="7">
      <c r="A7" s="7" t="inlineStr">
        <is>
          <t>β (Mkt-RF)</t>
        </is>
      </c>
      <c r="B7" s="8" t="n">
        <v>0.9485467913274813</v>
      </c>
    </row>
    <row r="8">
      <c r="A8" s="7" t="inlineStr">
        <is>
          <t>β (SMB)</t>
        </is>
      </c>
      <c r="B8" s="8" t="n">
        <v>-0.176697944717773</v>
      </c>
    </row>
    <row r="9">
      <c r="A9" s="7" t="inlineStr">
        <is>
          <t>β (HML)</t>
        </is>
      </c>
      <c r="B9" s="8" t="n">
        <v>-0.3405862633375593</v>
      </c>
    </row>
    <row r="10">
      <c r="A10" s="7" t="inlineStr">
        <is>
          <t>β (Mom)</t>
        </is>
      </c>
      <c r="B10" s="8" t="n">
        <v>-0.4550173476832127</v>
      </c>
    </row>
    <row r="11">
      <c r="A11" s="7" t="inlineStr">
        <is>
          <t>R-squared</t>
        </is>
      </c>
      <c r="B11" s="8" t="n">
        <v>0.531859040219093</v>
      </c>
    </row>
    <row r="12">
      <c r="A12" s="7" t="inlineStr">
        <is>
          <t>SE (α)</t>
        </is>
      </c>
      <c r="B12" s="8" t="n">
        <v>0.006759767528709857</v>
      </c>
    </row>
    <row r="13">
      <c r="A13" s="7" t="inlineStr">
        <is>
          <t>SE (Mkt-RF)</t>
        </is>
      </c>
      <c r="B13" s="8" t="n">
        <v>0.1556779412971221</v>
      </c>
    </row>
    <row r="14">
      <c r="A14" s="7" t="inlineStr">
        <is>
          <t>SE (SMB)</t>
        </is>
      </c>
      <c r="B14" s="8" t="n">
        <v>0.2491337058813601</v>
      </c>
    </row>
    <row r="15">
      <c r="A15" s="7" t="inlineStr">
        <is>
          <t>SE (HML)</t>
        </is>
      </c>
      <c r="B15" s="8" t="n">
        <v>0.157066687710358</v>
      </c>
    </row>
    <row r="16">
      <c r="A16" s="7" t="inlineStr">
        <is>
          <t>SE (Mom)</t>
        </is>
      </c>
      <c r="B16" s="8" t="n">
        <v>0.1925713904124145</v>
      </c>
    </row>
    <row r="17">
      <c r="A17" s="7" t="inlineStr">
        <is>
          <t>t-stat (α)</t>
        </is>
      </c>
      <c r="B17" s="8" t="n">
        <v>1.065189530528417</v>
      </c>
    </row>
    <row r="18">
      <c r="A18" s="7" t="inlineStr">
        <is>
          <t>t-stat (Mkt-RF)</t>
        </is>
      </c>
      <c r="B18" s="8" t="n">
        <v>6.093007033778241</v>
      </c>
    </row>
    <row r="19">
      <c r="A19" s="7" t="inlineStr">
        <is>
          <t>t-stat (SMB)</t>
        </is>
      </c>
      <c r="B19" s="8" t="n">
        <v>-0.7092494533915789</v>
      </c>
    </row>
    <row r="20">
      <c r="A20" s="7" t="inlineStr">
        <is>
          <t>t-stat (HML)</t>
        </is>
      </c>
      <c r="B20" s="8" t="n">
        <v>-2.16841819422349</v>
      </c>
    </row>
    <row r="21">
      <c r="A21" s="7" t="inlineStr">
        <is>
          <t>t-stat (Mom)</t>
        </is>
      </c>
      <c r="B21" s="8" t="n">
        <v>-2.362850196536148</v>
      </c>
    </row>
    <row r="22">
      <c r="A22" s="7" t="inlineStr">
        <is>
          <t>F-statistic</t>
        </is>
      </c>
      <c r="B22" s="8" t="n">
        <v>15.905522487398</v>
      </c>
    </row>
    <row r="23">
      <c r="A23" s="7" t="inlineStr">
        <is>
          <t>Observations</t>
        </is>
      </c>
      <c r="B23" s="8" t="n">
        <v>61</v>
      </c>
    </row>
    <row r="24"/>
    <row r="25"/>
    <row r="26">
      <c r="A26" s="10" t="inlineStr">
        <is>
          <t>VFIAX Fama-French 4-Factor</t>
        </is>
      </c>
    </row>
    <row r="27">
      <c r="A27" s="2" t="inlineStr">
        <is>
          <t>Statistic</t>
        </is>
      </c>
      <c r="B27" s="2" t="inlineStr">
        <is>
          <t>Value</t>
        </is>
      </c>
    </row>
    <row r="28">
      <c r="A28" s="7" t="inlineStr">
        <is>
          <t>Alpha (α)</t>
        </is>
      </c>
      <c r="B28" s="8" t="n">
        <v>-0.0003422582669747701</v>
      </c>
    </row>
    <row r="29">
      <c r="A29" s="7" t="inlineStr">
        <is>
          <t>β (Mkt-RF)</t>
        </is>
      </c>
      <c r="B29" s="8" t="n">
        <v>1.013348486445862</v>
      </c>
    </row>
    <row r="30">
      <c r="A30" s="7" t="inlineStr">
        <is>
          <t>β (SMB)</t>
        </is>
      </c>
      <c r="B30" s="8" t="n">
        <v>-0.1501017016351763</v>
      </c>
    </row>
    <row r="31">
      <c r="A31" s="7" t="inlineStr">
        <is>
          <t>β (HML)</t>
        </is>
      </c>
      <c r="B31" s="8" t="n">
        <v>0.03000246040021676</v>
      </c>
    </row>
    <row r="32">
      <c r="A32" s="7" t="inlineStr">
        <is>
          <t>β (Mom)</t>
        </is>
      </c>
      <c r="B32" s="8" t="n">
        <v>-0.01507942658916988</v>
      </c>
    </row>
    <row r="33">
      <c r="A33" s="7" t="inlineStr">
        <is>
          <t>R-squared</t>
        </is>
      </c>
      <c r="B33" s="8" t="n">
        <v>0.9899690663830603</v>
      </c>
    </row>
    <row r="34">
      <c r="A34" s="7" t="inlineStr">
        <is>
          <t>SE (α)</t>
        </is>
      </c>
      <c r="B34" s="8" t="n">
        <v>0.0006213600792786562</v>
      </c>
    </row>
    <row r="35">
      <c r="A35" s="7" t="inlineStr">
        <is>
          <t>SE (Mkt-RF)</t>
        </is>
      </c>
      <c r="B35" s="8" t="n">
        <v>0.01430996813654917</v>
      </c>
    </row>
    <row r="36">
      <c r="A36" s="7" t="inlineStr">
        <is>
          <t>SE (SMB)</t>
        </is>
      </c>
      <c r="B36" s="8" t="n">
        <v>0.0229004530969384</v>
      </c>
    </row>
    <row r="37">
      <c r="A37" s="7" t="inlineStr">
        <is>
          <t>SE (HML)</t>
        </is>
      </c>
      <c r="B37" s="8" t="n">
        <v>0.01443762216869765</v>
      </c>
    </row>
    <row r="38">
      <c r="A38" s="7" t="inlineStr">
        <is>
          <t>SE (Mom)</t>
        </is>
      </c>
      <c r="B38" s="8" t="n">
        <v>0.01770122624857426</v>
      </c>
    </row>
    <row r="39">
      <c r="A39" s="7" t="inlineStr">
        <is>
          <t>t-stat (α)</t>
        </is>
      </c>
      <c r="B39" s="8" t="n">
        <v>-0.5508211396073296</v>
      </c>
    </row>
    <row r="40">
      <c r="A40" s="7" t="inlineStr">
        <is>
          <t>t-stat (Mkt-RF)</t>
        </is>
      </c>
      <c r="B40" s="8" t="n">
        <v>70.81416791262187</v>
      </c>
    </row>
    <row r="41">
      <c r="A41" s="7" t="inlineStr">
        <is>
          <t>t-stat (SMB)</t>
        </is>
      </c>
      <c r="B41" s="8" t="n">
        <v>-6.55452977282985</v>
      </c>
    </row>
    <row r="42">
      <c r="A42" s="7" t="inlineStr">
        <is>
          <t>t-stat (HML)</t>
        </is>
      </c>
      <c r="B42" s="8" t="n">
        <v>2.078074910788661</v>
      </c>
    </row>
    <row r="43">
      <c r="A43" s="7" t="inlineStr">
        <is>
          <t>t-stat (Mom)</t>
        </is>
      </c>
      <c r="B43" s="8" t="n">
        <v>-0.8518859867340798</v>
      </c>
    </row>
    <row r="44">
      <c r="A44" s="7" t="inlineStr">
        <is>
          <t>F-statistic</t>
        </is>
      </c>
      <c r="B44" s="8" t="n">
        <v>1381.682648757396</v>
      </c>
    </row>
    <row r="45">
      <c r="A45" s="7" t="inlineStr">
        <is>
          <t>Observations</t>
        </is>
      </c>
      <c r="B45" s="8" t="n">
        <v>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2026-03-13T03:54:32Z</dcterms:created>
  <dcterms:modified xmlns:dcterms="http://purl.org/dc/terms/" xmlns:xsi="http://www.w3.org/2001/XMLSchema-instance" xsi:type="dcterms:W3CDTF">2026-03-13T03:54:32Z</dcterms:modified>
</cp:coreProperties>
</file>